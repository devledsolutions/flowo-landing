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ece aqui" sheetId="1" state="visible" r:id="rId3"/>
    <sheet name="Painel rápido" sheetId="2" state="visible" r:id="rId4"/>
    <sheet name="Configuração" sheetId="3" state="visible" r:id="rId5"/>
    <sheet name="Lançamentos" sheetId="4" state="visible" r:id="rId6"/>
    <sheet name="Resumo semanal" sheetId="5" state="visible" r:id="rId7"/>
  </sheets>
  <definedNames>
    <definedName function="false" hidden="false" localSheetId="0" name="_xlnm.Print_Area" vbProcedure="false">'Comece aqui'!$A$1:$F$19</definedName>
    <definedName function="false" hidden="false" localSheetId="2" name="_xlnm.Print_Area" vbProcedure="false">Configuração!$A$1:$C$4</definedName>
    <definedName function="false" hidden="false" localSheetId="3" name="_xlnm.Print_Area" vbProcedure="false">Lançamentos!$A$1:$H$121</definedName>
    <definedName function="false" hidden="true" localSheetId="3" name="_xlnm._FilterDatabase" vbProcedure="false">Lançamentos!$A$1:$H$121</definedName>
    <definedName function="false" hidden="false" localSheetId="1" name="_xlnm.Print_Area" vbProcedure="false">'Painel rápido'!$A$1:$I$18</definedName>
    <definedName function="false" hidden="false" localSheetId="4" name="_xlnm.Print_Area" vbProcedure="false">'Resumo semanal'!$A$1:$E$53</definedName>
    <definedName function="false" hidden="true" localSheetId="4" name="_xlnm._FilterDatabase" vbProcedure="false">'Resumo semanal'!$A$1:$E$53</definedName>
    <definedName function="false" hidden="false" localSheetId="3" name="_xlnm._FilterDatabase" vbProcedure="false">Lançamentos!A1:H121</definedName>
    <definedName function="false" hidden="false" localSheetId="4" name="_xlnm._FilterDatabase" vbProcedure="false">'Resumo semanal'!A1:E53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<sst xmlns="http://schemas.openxmlformats.org/spreadsheetml/2006/main" count="80" uniqueCount="72">
  <si>
    <t xml:space="preserve">FLOWO · MATERIAL PRÁTICO</t>
  </si>
  <si>
    <t xml:space="preserve">Fluxo de caixa semanal</t>
  </si>
  <si>
    <t xml:space="preserve">Registre entradas e saídas e acompanhe o saldo da barbearia por semana.</t>
  </si>
  <si>
    <t xml:space="preserve">Veja o resumo na próxima aba. Depois, preencha somente as células rosadas e volte ao resumo para decidir o que fazer.</t>
  </si>
  <si>
    <t xml:space="preserve">01</t>
  </si>
  <si>
    <t xml:space="preserve">02</t>
  </si>
  <si>
    <t xml:space="preserve">03</t>
  </si>
  <si>
    <t xml:space="preserve">Defina a data inicial, a quantidade de semanas e o saldo inicial na aba Configuração.</t>
  </si>
  <si>
    <t xml:space="preserve">Registre cada movimento com data sem horário e selecione Entrada ou Saída.</t>
  </si>
  <si>
    <t xml:space="preserve">Confira o resumo semanal e concilie com conta, caixa e meios de recebimento.</t>
  </si>
  <si>
    <t xml:space="preserve">LEGENDA RÁPIDA</t>
  </si>
  <si>
    <t xml:space="preserve">DIGITE AQUI</t>
  </si>
  <si>
    <t xml:space="preserve">RESULTADO</t>
  </si>
  <si>
    <t xml:space="preserve">ATENÇÃO</t>
  </si>
  <si>
    <t xml:space="preserve">Células rosadas</t>
  </si>
  <si>
    <t xml:space="preserve">Células verdes</t>
  </si>
  <si>
    <t xml:space="preserve">Células amarelas</t>
  </si>
  <si>
    <t xml:space="preserve">ANTES DE COMEÇAR</t>
  </si>
  <si>
    <t xml:space="preserve">• Saldo de caixa não é lucro.</t>
  </si>
  <si>
    <t xml:space="preserve">• Confira categorias, impostos e valores recebidos com seu contador.</t>
  </si>
  <si>
    <t xml:space="preserve">AVISO IMPORTANTE</t>
  </si>
  <si>
    <t xml:space="preserve">Material educativo. Adapte à realidade da sua barbearia e valide decisões contábeis, fiscais, trabalhistas e jurídicas com profissionais habilitados.</t>
  </si>
  <si>
    <t xml:space="preserve">flowo.com.br/recursos/materiais</t>
  </si>
  <si>
    <t xml:space="preserve">FLOWO · RESUMO SIMPLES</t>
  </si>
  <si>
    <t xml:space="preserve">Seu caixa da semana sem conta de cabeça</t>
  </si>
  <si>
    <t xml:space="preserve">Registre cada movimento e confira se o saldo acumulado combina com o caixa real.</t>
  </si>
  <si>
    <t xml:space="preserve">LANÇAMENTOS</t>
  </si>
  <si>
    <t xml:space="preserve">ENTRADAS NO PERÍODO</t>
  </si>
  <si>
    <t xml:space="preserve">SALDO ACUMULADO</t>
  </si>
  <si>
    <t xml:space="preserve">entradas e saídas registradas</t>
  </si>
  <si>
    <t xml:space="preserve">soma das semanas configuradas</t>
  </si>
  <si>
    <t xml:space="preserve">saldo ao fim da última semana</t>
  </si>
  <si>
    <t xml:space="preserve">PRÓXIMA AÇÃO</t>
  </si>
  <si>
    <t xml:space="preserve">Compare o saldo acumulado com banco, Pix, cartão e dinheiro. Se não bater, confira a semana mais recente.</t>
  </si>
  <si>
    <t xml:space="preserve">COMO LER</t>
  </si>
  <si>
    <t xml:space="preserve">1. Preencha as células rosadas nas outras abas.</t>
  </si>
  <si>
    <t xml:space="preserve">2. Volte aqui para conferir os números principais.</t>
  </si>
  <si>
    <t xml:space="preserve">3. Resolva primeiro o que estiver pendente ou bloqueado.</t>
  </si>
  <si>
    <t xml:space="preserve">Configuração</t>
  </si>
  <si>
    <t xml:space="preserve">Valor</t>
  </si>
  <si>
    <t xml:space="preserve">Orientação</t>
  </si>
  <si>
    <t xml:space="preserve">Data inicial da primeira semana</t>
  </si>
  <si>
    <t xml:space="preserve">Use somente a data, sem horário</t>
  </si>
  <si>
    <t xml:space="preserve">Quantidade de semanas</t>
  </si>
  <si>
    <t xml:space="preserve">Escolha de 1 a 52</t>
  </si>
  <si>
    <t xml:space="preserve">Saldo inicial (R$)</t>
  </si>
  <si>
    <t xml:space="preserve">Saldo antes da primeira semana</t>
  </si>
  <si>
    <t xml:space="preserve">Data</t>
  </si>
  <si>
    <t xml:space="preserve">Descrição</t>
  </si>
  <si>
    <t xml:space="preserve">Categoria</t>
  </si>
  <si>
    <t xml:space="preserve">Tipo</t>
  </si>
  <si>
    <t xml:space="preserve">Forma</t>
  </si>
  <si>
    <t xml:space="preserve">Valor (R$)</t>
  </si>
  <si>
    <t xml:space="preserve">Responsável</t>
  </si>
  <si>
    <t xml:space="preserve">Comprovante/observação</t>
  </si>
  <si>
    <t xml:space="preserve">Atendimentos</t>
  </si>
  <si>
    <t xml:space="preserve">Serviços</t>
  </si>
  <si>
    <t xml:space="preserve">Entrada</t>
  </si>
  <si>
    <t xml:space="preserve">Pix</t>
  </si>
  <si>
    <t xml:space="preserve">Gestor</t>
  </si>
  <si>
    <t xml:space="preserve">Produtos</t>
  </si>
  <si>
    <t xml:space="preserve">Estoque</t>
  </si>
  <si>
    <t xml:space="preserve">Saída</t>
  </si>
  <si>
    <t xml:space="preserve">Cartão</t>
  </si>
  <si>
    <t xml:space="preserve">Energia</t>
  </si>
  <si>
    <t xml:space="preserve">Estrutura</t>
  </si>
  <si>
    <t xml:space="preserve">Boleto</t>
  </si>
  <si>
    <t xml:space="preserve">Semana iniciada em</t>
  </si>
  <si>
    <t xml:space="preserve">Entradas (R$)</t>
  </si>
  <si>
    <t xml:space="preserve">Saídas (R$)</t>
  </si>
  <si>
    <t xml:space="preserve">Saldo da semana</t>
  </si>
  <si>
    <t xml:space="preserve">Saldo acumulado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</si>
</sst>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&quot;R$ &quot;#,##0.00"/>
    <numFmt numFmtId="167" formatCode="dd/mm/yyyy"/>
  </numFmts>
  <fonts count="2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4F0E5"/>
      <name val="Arial"/>
      <family val="2"/>
      <charset val="1"/>
    </font>
    <font>
      <b val="true"/>
      <sz val="22"/>
      <color rgb="FF171810"/>
      <name val="Arial"/>
      <family val="2"/>
      <charset val="1"/>
    </font>
    <font>
      <sz val="12"/>
      <color rgb="FF6D6A61"/>
      <name val="Arial"/>
      <family val="2"/>
      <charset val="1"/>
    </font>
    <font>
      <b val="true"/>
      <sz val="11"/>
      <color rgb="FF171810"/>
      <name val="Arial"/>
      <family val="2"/>
      <charset val="1"/>
    </font>
    <font>
      <b val="true"/>
      <sz val="11"/>
      <color rgb="FFF4F0E5"/>
      <name val="Arial"/>
      <family val="2"/>
      <charset val="1"/>
    </font>
    <font>
      <sz val="11"/>
      <color rgb="FF171810"/>
      <name val="Arial"/>
      <family val="2"/>
      <charset val="1"/>
    </font>
    <font>
      <b val="true"/>
      <sz val="11"/>
      <color rgb="FF7A173F"/>
      <name val="Arial"/>
      <family val="2"/>
      <charset val="1"/>
    </font>
    <font>
      <b val="true"/>
      <sz val="11"/>
      <color rgb="FF1F7A50"/>
      <name val="Arial"/>
      <family val="2"/>
      <charset val="1"/>
    </font>
    <font>
      <b val="true"/>
      <sz val="11"/>
      <color rgb="FFA45D13"/>
      <name val="Arial"/>
      <family val="2"/>
      <charset val="1"/>
    </font>
    <font>
      <sz val="10"/>
      <color rgb="FF6D6A61"/>
      <name val="Arial"/>
      <family val="2"/>
      <charset val="1"/>
    </font>
    <font>
      <sz val="10"/>
      <color rgb="FF171810"/>
      <name val="Arial"/>
      <family val="2"/>
      <charset val="1"/>
    </font>
    <font>
      <b val="true"/>
      <sz val="10"/>
      <color rgb="FFC52663"/>
      <name val="Arial"/>
      <family val="2"/>
      <charset val="1"/>
    </font>
    <font>
      <sz val="11"/>
      <color rgb="FF6D6A61"/>
      <name val="Arial"/>
      <family val="2"/>
      <charset val="1"/>
    </font>
    <font>
      <b val="true"/>
      <sz val="22"/>
      <color rgb="FF1F7A50"/>
      <name val="Arial"/>
      <family val="2"/>
      <charset val="1"/>
    </font>
    <font>
      <b val="true"/>
      <sz val="12"/>
      <color rgb="FFA45D13"/>
      <name val="Arial"/>
      <family val="2"/>
      <charset val="1"/>
    </font>
    <font>
      <b val="true"/>
      <sz val="10"/>
      <color rgb="FF171810"/>
      <name val="Arial"/>
      <family val="2"/>
      <charset val="1"/>
    </font>
    <font>
      <sz val="11"/>
      <color rgb="FF7A173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71810"/>
        <bgColor rgb="FF000000"/>
      </patternFill>
    </fill>
    <fill>
      <patternFill patternType="solid">
        <fgColor rgb="FFF4F0E5"/>
        <bgColor rgb="FFFAEEDB"/>
      </patternFill>
    </fill>
    <fill>
      <patternFill patternType="solid">
        <fgColor rgb="FFFBF9F3"/>
        <bgColor rgb="FFF4F0E5"/>
      </patternFill>
    </fill>
    <fill>
      <patternFill patternType="solid">
        <fgColor rgb="FFF8E9EF"/>
        <bgColor rgb="FFF4F0E5"/>
      </patternFill>
    </fill>
    <fill>
      <patternFill patternType="solid">
        <fgColor rgb="FFE7F3EC"/>
        <bgColor rgb="FFF4F0E5"/>
      </patternFill>
    </fill>
    <fill>
      <patternFill patternType="solid">
        <fgColor rgb="FFFAEEDB"/>
        <bgColor rgb="FFF4F0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1810"/>
          <bgColor rgb="FF000000"/>
        </patternFill>
      </fill>
    </dxf>
    <dxf>
      <fill>
        <patternFill patternType="solid">
          <fgColor rgb="FFF8E9EF"/>
          <bgColor rgb="FF000000"/>
        </patternFill>
      </fill>
    </dxf>
    <dxf>
      <fill>
        <patternFill patternType="solid">
          <fgColor rgb="FF7A173F"/>
          <bgColor rgb="FF000000"/>
        </patternFill>
      </fill>
    </dxf>
    <dxf>
      <fill>
        <patternFill patternType="solid">
          <fgColor rgb="FFF4F0E5"/>
          <bgColor rgb="FF000000"/>
        </patternFill>
      </fill>
    </dxf>
    <dxf>
      <fill>
        <patternFill patternType="solid">
          <fgColor rgb="FFE7F3EC"/>
          <bgColor rgb="FF000000"/>
        </patternFill>
      </fill>
    </dxf>
  </dxfs>
  <colors>
    <indexedColors>
      <rgbColor rgb="FF000000"/>
      <rgbColor rgb="FFFBF9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0"/>
      <rgbColor rgb="FFD9D3C6"/>
      <rgbColor rgb="FF808080"/>
      <rgbColor rgb="FF9999FF"/>
      <rgbColor rgb="FFC52663"/>
      <rgbColor rgb="FFFAEEDB"/>
      <rgbColor rgb="FFE7F3EC"/>
      <rgbColor rgb="FF7A173F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E9EF"/>
      <rgbColor rgb="FFF4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A61"/>
      <rgbColor rgb="FF969696"/>
      <rgbColor rgb="FF003366"/>
      <rgbColor rgb="FF339966"/>
      <rgbColor rgb="FF171810"/>
      <rgbColor rgb="FF333300"/>
      <rgbColor rgb="FFA45D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6" min="1" style="0" width="18.8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</row>
    <row r="5" customFormat="false" ht="8" hidden="false" customHeight="true" outlineLevel="0" collapsed="false"/>
    <row r="6" customFormat="false" ht="24" hidden="false" customHeight="true" outlineLevel="0" collapsed="false">
      <c r="A6" s="5" t="s">
        <v>4</v>
      </c>
      <c r="B6" s="5"/>
      <c r="C6" s="5" t="s">
        <v>5</v>
      </c>
      <c r="D6" s="5"/>
      <c r="E6" s="5" t="s">
        <v>6</v>
      </c>
      <c r="F6" s="5"/>
    </row>
    <row r="7" customFormat="false" ht="48" hidden="false" customHeight="true" outlineLevel="0" collapsed="false">
      <c r="A7" s="6" t="s">
        <v>7</v>
      </c>
      <c r="B7" s="6"/>
      <c r="C7" s="6" t="s">
        <v>8</v>
      </c>
      <c r="D7" s="6"/>
      <c r="E7" s="6" t="s">
        <v>9</v>
      </c>
      <c r="F7" s="6"/>
    </row>
    <row r="8" customFormat="false" ht="8" hidden="false" customHeight="true" outlineLevel="0" collapsed="false"/>
    <row r="9" customFormat="false" ht="34" hidden="false" customHeight="true" outlineLevel="0" collapsed="false">
      <c r="A9" s="1" t="s">
        <v>10</v>
      </c>
      <c r="B9" s="1"/>
      <c r="C9" s="1"/>
      <c r="D9" s="1"/>
      <c r="E9" s="1"/>
      <c r="F9" s="1"/>
    </row>
    <row r="10" customFormat="false" ht="24" hidden="false" customHeight="true" outlineLevel="0" collapsed="false">
      <c r="A10" s="7" t="s">
        <v>11</v>
      </c>
      <c r="B10" s="7"/>
      <c r="C10" s="8" t="s">
        <v>12</v>
      </c>
      <c r="D10" s="8"/>
      <c r="E10" s="9" t="s">
        <v>13</v>
      </c>
      <c r="F10" s="9"/>
    </row>
    <row r="11" customFormat="false" ht="48" hidden="false" customHeight="true" outlineLevel="0" collapsed="false">
      <c r="A11" s="7" t="s">
        <v>14</v>
      </c>
      <c r="B11" s="7"/>
      <c r="C11" s="8" t="s">
        <v>15</v>
      </c>
      <c r="D11" s="8"/>
      <c r="E11" s="9" t="s">
        <v>16</v>
      </c>
      <c r="F11" s="9"/>
    </row>
    <row r="12" customFormat="false" ht="8" hidden="false" customHeight="true" outlineLevel="0" collapsed="false"/>
    <row r="13" customFormat="false" ht="34" hidden="false" customHeight="true" outlineLevel="0" collapsed="false">
      <c r="A13" s="1" t="s">
        <v>17</v>
      </c>
      <c r="B13" s="1"/>
      <c r="C13" s="1"/>
      <c r="D13" s="1"/>
      <c r="E13" s="1"/>
      <c r="F13" s="1"/>
    </row>
    <row r="14" customFormat="false" ht="34" hidden="false" customHeight="true" outlineLevel="0" collapsed="false">
      <c r="A14" s="10" t="s">
        <v>18</v>
      </c>
      <c r="B14" s="10"/>
      <c r="C14" s="10"/>
      <c r="D14" s="10"/>
      <c r="E14" s="10"/>
      <c r="F14" s="10"/>
    </row>
    <row r="15" customFormat="false" ht="34" hidden="false" customHeight="true" outlineLevel="0" collapsed="false">
      <c r="A15" s="10" t="s">
        <v>19</v>
      </c>
      <c r="B15" s="10"/>
      <c r="C15" s="10"/>
      <c r="D15" s="10"/>
      <c r="E15" s="10"/>
      <c r="F15" s="10"/>
    </row>
    <row r="16" customFormat="false" ht="8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34" hidden="false" customHeight="true" outlineLevel="0" collapsed="false">
      <c r="A17" s="1" t="s">
        <v>20</v>
      </c>
      <c r="B17" s="1"/>
      <c r="C17" s="1"/>
      <c r="D17" s="1"/>
      <c r="E17" s="1"/>
      <c r="F17" s="1"/>
    </row>
    <row r="18" customFormat="false" ht="46" hidden="false" customHeight="true" outlineLevel="0" collapsed="false">
      <c r="A18" s="12" t="s">
        <v>21</v>
      </c>
      <c r="B18" s="12"/>
      <c r="C18" s="12"/>
      <c r="D18" s="12"/>
      <c r="E18" s="12"/>
      <c r="F18" s="12"/>
    </row>
    <row r="19" customFormat="false" ht="34" hidden="false" customHeight="true" outlineLevel="0" collapsed="false">
      <c r="A19" s="13" t="s">
        <v>22</v>
      </c>
      <c r="B19" s="13"/>
      <c r="C19" s="13"/>
      <c r="D19" s="13"/>
      <c r="E19" s="13"/>
      <c r="F19" s="13"/>
    </row>
  </sheetData>
  <mergeCells count="24">
    <mergeCell ref="A1:F1"/>
    <mergeCell ref="A2:F2"/>
    <mergeCell ref="A3:F3"/>
    <mergeCell ref="A4:F4"/>
    <mergeCell ref="A6:B6"/>
    <mergeCell ref="C6:D6"/>
    <mergeCell ref="E6:F6"/>
    <mergeCell ref="A7:B7"/>
    <mergeCell ref="C7:D7"/>
    <mergeCell ref="E7:F7"/>
    <mergeCell ref="A9:F9"/>
    <mergeCell ref="A10:B10"/>
    <mergeCell ref="C10:D10"/>
    <mergeCell ref="E10:F10"/>
    <mergeCell ref="A11:B11"/>
    <mergeCell ref="C11:D11"/>
    <mergeCell ref="E11:F11"/>
    <mergeCell ref="A13:F13"/>
    <mergeCell ref="A14:F14"/>
    <mergeCell ref="A15:F15"/>
    <mergeCell ref="A16:F16"/>
    <mergeCell ref="A17:F17"/>
    <mergeCell ref="A18:F18"/>
    <mergeCell ref="A19:F19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9" min="1" style="0" width="14.84"/>
  </cols>
  <sheetData>
    <row r="1" customFormat="false" ht="24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</row>
    <row r="2" customFormat="false" ht="40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34" hidden="false" customHeight="true" outlineLevel="0" collapsed="false">
      <c r="A3" s="14" t="s">
        <v>25</v>
      </c>
      <c r="B3" s="14"/>
      <c r="C3" s="14"/>
      <c r="D3" s="14"/>
      <c r="E3" s="14"/>
      <c r="F3" s="14"/>
      <c r="G3" s="14"/>
      <c r="H3" s="14"/>
      <c r="I3" s="14"/>
    </row>
    <row r="4" customFormat="false" ht="15" hidden="false" customHeight="false" outlineLevel="0" collapsed="false"/>
    <row r="5" customFormat="false" ht="26" hidden="false" customHeight="true" outlineLevel="0" collapsed="false">
      <c r="A5" s="1" t="s">
        <v>26</v>
      </c>
      <c r="B5" s="1"/>
      <c r="C5" s="1"/>
      <c r="D5" s="1" t="s">
        <v>27</v>
      </c>
      <c r="E5" s="1"/>
      <c r="F5" s="1"/>
      <c r="G5" s="1" t="s">
        <v>28</v>
      </c>
      <c r="H5" s="1"/>
      <c r="I5" s="1"/>
    </row>
    <row r="6" customFormat="false" ht="44" hidden="false" customHeight="true" outlineLevel="0" collapsed="false">
      <c r="A6" s="15" t="n">
        <f aca="false">COUNTA(Lançamentos!$A$2:$A$121)</f>
        <v>4</v>
      </c>
      <c r="B6" s="15"/>
      <c r="C6" s="15"/>
      <c r="D6" s="16" t="n">
        <f aca="false">SUM('Resumo semanal'!$B$2:$B$53)</f>
        <v>2180</v>
      </c>
      <c r="E6" s="16"/>
      <c r="F6" s="16"/>
      <c r="G6" s="16" t="n">
        <f aca="false">INDEX('Resumo semanal'!$E$2:$E$53,Configuração!$B$3)</f>
        <v>1710</v>
      </c>
      <c r="H6" s="16"/>
      <c r="I6" s="16"/>
    </row>
    <row r="7" customFormat="false" ht="34" hidden="false" customHeight="true" outlineLevel="0" collapsed="false">
      <c r="A7" s="17" t="s">
        <v>29</v>
      </c>
      <c r="B7" s="17"/>
      <c r="C7" s="17"/>
      <c r="D7" s="17" t="s">
        <v>30</v>
      </c>
      <c r="E7" s="17"/>
      <c r="F7" s="17"/>
      <c r="G7" s="17" t="s">
        <v>31</v>
      </c>
      <c r="H7" s="17"/>
      <c r="I7" s="17"/>
    </row>
    <row r="8" customFormat="false" ht="15" hidden="false" customHeight="false" outlineLevel="0" collapsed="false"/>
    <row r="9" customFormat="false" ht="15" hidden="false" customHeight="false" outlineLevel="0" collapsed="false"/>
    <row r="10" customFormat="false" ht="26" hidden="false" customHeight="true" outlineLevel="0" collapsed="false">
      <c r="A10" s="1" t="s">
        <v>32</v>
      </c>
      <c r="B10" s="1"/>
      <c r="C10" s="1"/>
      <c r="D10" s="1"/>
      <c r="E10" s="1"/>
      <c r="F10" s="1"/>
      <c r="G10" s="1"/>
      <c r="H10" s="1"/>
      <c r="I10" s="1"/>
    </row>
    <row r="11" customFormat="false" ht="42" hidden="false" customHeight="true" outlineLevel="0" collapsed="false">
      <c r="A11" s="18" t="s">
        <v>33</v>
      </c>
      <c r="B11" s="18"/>
      <c r="C11" s="18"/>
      <c r="D11" s="18"/>
      <c r="E11" s="18"/>
      <c r="F11" s="18"/>
      <c r="G11" s="18"/>
      <c r="H11" s="18"/>
      <c r="I11" s="18"/>
    </row>
    <row r="12" customFormat="false" ht="15" hidden="false" customHeight="false" outlineLevel="0" collapsed="false"/>
    <row r="13" customFormat="false" ht="15" hidden="false" customHeight="false" outlineLevel="0" collapsed="false"/>
    <row r="14" customFormat="false" ht="24" hidden="false" customHeight="true" outlineLevel="0" collapsed="false">
      <c r="A14" s="19" t="s">
        <v>34</v>
      </c>
      <c r="B14" s="19"/>
      <c r="C14" s="19"/>
      <c r="D14" s="19"/>
      <c r="E14" s="19"/>
      <c r="F14" s="19"/>
      <c r="G14" s="19"/>
      <c r="H14" s="19"/>
      <c r="I14" s="19"/>
    </row>
    <row r="15" customFormat="false" ht="24" hidden="false" customHeight="true" outlineLevel="0" collapsed="false">
      <c r="A15" s="10" t="s">
        <v>35</v>
      </c>
      <c r="B15" s="10"/>
      <c r="C15" s="10"/>
      <c r="D15" s="10"/>
      <c r="E15" s="10"/>
      <c r="F15" s="10"/>
      <c r="G15" s="10"/>
      <c r="H15" s="10"/>
      <c r="I15" s="10"/>
    </row>
    <row r="16" customFormat="false" ht="24" hidden="false" customHeight="true" outlineLevel="0" collapsed="false">
      <c r="A16" s="10" t="s">
        <v>36</v>
      </c>
      <c r="B16" s="10"/>
      <c r="C16" s="10"/>
      <c r="D16" s="10"/>
      <c r="E16" s="10"/>
      <c r="F16" s="10"/>
      <c r="G16" s="10"/>
      <c r="H16" s="10"/>
      <c r="I16" s="10"/>
    </row>
    <row r="17" customFormat="false" ht="24" hidden="false" customHeight="true" outlineLevel="0" collapsed="false">
      <c r="A17" s="10" t="s">
        <v>37</v>
      </c>
      <c r="B17" s="10"/>
      <c r="C17" s="10"/>
      <c r="D17" s="10"/>
      <c r="E17" s="10"/>
      <c r="F17" s="10"/>
      <c r="G17" s="10"/>
      <c r="H17" s="10"/>
      <c r="I17" s="10"/>
    </row>
  </sheetData>
  <mergeCells count="18">
    <mergeCell ref="A1:I1"/>
    <mergeCell ref="A2:I2"/>
    <mergeCell ref="A3:I3"/>
    <mergeCell ref="A5:C5"/>
    <mergeCell ref="D5:F5"/>
    <mergeCell ref="G5:I5"/>
    <mergeCell ref="A6:C6"/>
    <mergeCell ref="D6:F6"/>
    <mergeCell ref="G6:I6"/>
    <mergeCell ref="A7:C7"/>
    <mergeCell ref="D7:F7"/>
    <mergeCell ref="G7:I7"/>
    <mergeCell ref="A10:I10"/>
    <mergeCell ref="A11:I11"/>
    <mergeCell ref="A14:I14"/>
    <mergeCell ref="A15:I15"/>
    <mergeCell ref="A16:I16"/>
    <mergeCell ref="A17:I17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38.83"/>
    <col collapsed="false" customWidth="true" hidden="false" outlineLevel="0" max="2" min="2" style="0" width="22.84"/>
    <col collapsed="false" customWidth="true" hidden="false" outlineLevel="0" max="3" min="3" style="0" width="42.84"/>
  </cols>
  <sheetData>
    <row r="1" customFormat="false" ht="30" hidden="false" customHeight="true" outlineLevel="0" collapsed="false">
      <c r="A1" s="20" t="s">
        <v>38</v>
      </c>
      <c r="B1" s="20" t="s">
        <v>39</v>
      </c>
      <c r="C1" s="20" t="s">
        <v>40</v>
      </c>
    </row>
    <row r="2" customFormat="false" ht="34" hidden="false" customHeight="true" outlineLevel="0" collapsed="false">
      <c r="A2" s="21" t="s">
        <v>41</v>
      </c>
      <c r="B2" s="22" t="n">
        <v>46237</v>
      </c>
      <c r="C2" s="21" t="s">
        <v>42</v>
      </c>
    </row>
    <row r="3" customFormat="false" ht="34" hidden="false" customHeight="true" outlineLevel="0" collapsed="false">
      <c r="A3" s="6" t="s">
        <v>43</v>
      </c>
      <c r="B3" s="23" t="n">
        <v>12</v>
      </c>
      <c r="C3" s="6" t="s">
        <v>44</v>
      </c>
    </row>
    <row r="4" customFormat="false" ht="34" hidden="false" customHeight="true" outlineLevel="0" collapsed="false">
      <c r="A4" s="21" t="s">
        <v>45</v>
      </c>
      <c r="B4" s="24" t="n">
        <v>0</v>
      </c>
      <c r="C4" s="21" t="s">
        <v>46</v>
      </c>
    </row>
  </sheetData>
  <dataValidations count="3">
    <dataValidation allowBlank="true" error="Informe uma data válida, sem horário." errorStyle="stop" errorTitle="Valor inválido" operator="between" showDropDown="false" showErrorMessage="true" showInputMessage="false" sqref="B2" type="date">
      <formula1>DATE(2020,1,1)</formula1>
      <formula2>DATE(2100,12,31)</formula2>
    </dataValidation>
    <dataValidation allowBlank="true" error="Escolha de 1 a 52 semanas." errorStyle="stop" errorTitle="Valor inválido" operator="between" showDropDown="false" showErrorMessage="true" showInputMessage="false" sqref="B3" type="whole">
      <formula1>1</formula1>
      <formula2>52</formula2>
    </dataValidation>
    <dataValidation allowBlank="true" error="Informe um saldo inicial numérico." errorStyle="stop" errorTitle="Valor inválido" operator="between" showDropDown="false" showErrorMessage="true" showInputMessage="false" sqref="B4" type="decimal">
      <formula1>-100000000</formula1>
      <formula2>100000000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4.84"/>
    <col collapsed="false" customWidth="true" hidden="false" outlineLevel="0" max="2" min="2" style="0" width="34.84"/>
    <col collapsed="false" customWidth="true" hidden="false" outlineLevel="0" max="3" min="3" style="0" width="22.84"/>
    <col collapsed="false" customWidth="true" hidden="false" outlineLevel="0" max="4" min="4" style="0" width="14.84"/>
    <col collapsed="false" customWidth="true" hidden="false" outlineLevel="0" max="6" min="5" style="0" width="18.83"/>
    <col collapsed="false" customWidth="true" hidden="false" outlineLevel="0" max="7" min="7" style="0" width="22.84"/>
    <col collapsed="false" customWidth="true" hidden="false" outlineLevel="0" max="8" min="8" style="0" width="38.83"/>
  </cols>
  <sheetData>
    <row r="1" customFormat="false" ht="30" hidden="false" customHeight="true" outlineLevel="0" collapsed="false">
      <c r="A1" s="20" t="s">
        <v>47</v>
      </c>
      <c r="B1" s="20" t="s">
        <v>48</v>
      </c>
      <c r="C1" s="20" t="s">
        <v>49</v>
      </c>
      <c r="D1" s="20" t="s">
        <v>50</v>
      </c>
      <c r="E1" s="20" t="s">
        <v>51</v>
      </c>
      <c r="F1" s="20" t="s">
        <v>52</v>
      </c>
      <c r="G1" s="20" t="s">
        <v>53</v>
      </c>
      <c r="H1" s="20" t="s">
        <v>54</v>
      </c>
    </row>
    <row r="2" customFormat="false" ht="34" hidden="false" customHeight="true" outlineLevel="0" collapsed="false">
      <c r="A2" s="22" t="n">
        <v>46237</v>
      </c>
      <c r="B2" s="23" t="s">
        <v>55</v>
      </c>
      <c r="C2" s="23" t="s">
        <v>56</v>
      </c>
      <c r="D2" s="23" t="s">
        <v>57</v>
      </c>
      <c r="E2" s="23" t="s">
        <v>58</v>
      </c>
      <c r="F2" s="24" t="n">
        <v>1200</v>
      </c>
      <c r="G2" s="23" t="s">
        <v>59</v>
      </c>
      <c r="H2" s="23"/>
    </row>
    <row r="3" customFormat="false" ht="34" hidden="false" customHeight="true" outlineLevel="0" collapsed="false">
      <c r="A3" s="22" t="n">
        <v>46238</v>
      </c>
      <c r="B3" s="23" t="s">
        <v>60</v>
      </c>
      <c r="C3" s="23" t="s">
        <v>61</v>
      </c>
      <c r="D3" s="23" t="s">
        <v>62</v>
      </c>
      <c r="E3" s="23" t="s">
        <v>58</v>
      </c>
      <c r="F3" s="24" t="n">
        <v>280</v>
      </c>
      <c r="G3" s="23" t="s">
        <v>59</v>
      </c>
      <c r="H3" s="23"/>
    </row>
    <row r="4" customFormat="false" ht="34" hidden="false" customHeight="true" outlineLevel="0" collapsed="false">
      <c r="A4" s="22" t="n">
        <v>46239</v>
      </c>
      <c r="B4" s="23" t="s">
        <v>55</v>
      </c>
      <c r="C4" s="23" t="s">
        <v>56</v>
      </c>
      <c r="D4" s="23" t="s">
        <v>57</v>
      </c>
      <c r="E4" s="23" t="s">
        <v>63</v>
      </c>
      <c r="F4" s="24" t="n">
        <v>980</v>
      </c>
      <c r="G4" s="23" t="s">
        <v>59</v>
      </c>
      <c r="H4" s="23"/>
    </row>
    <row r="5" customFormat="false" ht="34" hidden="false" customHeight="true" outlineLevel="0" collapsed="false">
      <c r="A5" s="22" t="n">
        <v>46240</v>
      </c>
      <c r="B5" s="23" t="s">
        <v>64</v>
      </c>
      <c r="C5" s="23" t="s">
        <v>65</v>
      </c>
      <c r="D5" s="23" t="s">
        <v>62</v>
      </c>
      <c r="E5" s="23" t="s">
        <v>66</v>
      </c>
      <c r="F5" s="24" t="n">
        <v>190</v>
      </c>
      <c r="G5" s="23" t="s">
        <v>59</v>
      </c>
      <c r="H5" s="23"/>
    </row>
    <row r="6" customFormat="false" ht="34" hidden="false" customHeight="true" outlineLevel="0" collapsed="false">
      <c r="A6" s="22"/>
      <c r="B6" s="23"/>
      <c r="C6" s="23"/>
      <c r="D6" s="23"/>
      <c r="E6" s="23"/>
      <c r="F6" s="24"/>
      <c r="G6" s="23"/>
      <c r="H6" s="23"/>
    </row>
    <row r="7" customFormat="false" ht="34" hidden="false" customHeight="true" outlineLevel="0" collapsed="false">
      <c r="A7" s="22"/>
      <c r="B7" s="23"/>
      <c r="C7" s="23"/>
      <c r="D7" s="23"/>
      <c r="E7" s="23"/>
      <c r="F7" s="24"/>
      <c r="G7" s="23"/>
      <c r="H7" s="23"/>
    </row>
    <row r="8" customFormat="false" ht="34" hidden="false" customHeight="true" outlineLevel="0" collapsed="false">
      <c r="A8" s="22"/>
      <c r="B8" s="23"/>
      <c r="C8" s="23"/>
      <c r="D8" s="23"/>
      <c r="E8" s="23"/>
      <c r="F8" s="24"/>
      <c r="G8" s="23"/>
      <c r="H8" s="23"/>
    </row>
    <row r="9" customFormat="false" ht="34" hidden="false" customHeight="true" outlineLevel="0" collapsed="false">
      <c r="A9" s="22"/>
      <c r="B9" s="23"/>
      <c r="C9" s="23"/>
      <c r="D9" s="23"/>
      <c r="E9" s="23"/>
      <c r="F9" s="24"/>
      <c r="G9" s="23"/>
      <c r="H9" s="23"/>
    </row>
    <row r="10" customFormat="false" ht="34" hidden="false" customHeight="true" outlineLevel="0" collapsed="false">
      <c r="A10" s="22"/>
      <c r="B10" s="23"/>
      <c r="C10" s="23"/>
      <c r="D10" s="23"/>
      <c r="E10" s="23"/>
      <c r="F10" s="24"/>
      <c r="G10" s="23"/>
      <c r="H10" s="23"/>
    </row>
    <row r="11" customFormat="false" ht="34" hidden="false" customHeight="true" outlineLevel="0" collapsed="false">
      <c r="A11" s="22"/>
      <c r="B11" s="23"/>
      <c r="C11" s="23"/>
      <c r="D11" s="23"/>
      <c r="E11" s="23"/>
      <c r="F11" s="24"/>
      <c r="G11" s="23"/>
      <c r="H11" s="23"/>
    </row>
    <row r="12" customFormat="false" ht="34" hidden="false" customHeight="true" outlineLevel="0" collapsed="false">
      <c r="A12" s="22"/>
      <c r="B12" s="23"/>
      <c r="C12" s="23"/>
      <c r="D12" s="23"/>
      <c r="E12" s="23"/>
      <c r="F12" s="24"/>
      <c r="G12" s="23"/>
      <c r="H12" s="23"/>
    </row>
    <row r="13" customFormat="false" ht="34" hidden="false" customHeight="true" outlineLevel="0" collapsed="false">
      <c r="A13" s="22"/>
      <c r="B13" s="23"/>
      <c r="C13" s="23"/>
      <c r="D13" s="23"/>
      <c r="E13" s="23"/>
      <c r="F13" s="24"/>
      <c r="G13" s="23"/>
      <c r="H13" s="23"/>
    </row>
    <row r="14" customFormat="false" ht="34" hidden="false" customHeight="true" outlineLevel="0" collapsed="false">
      <c r="A14" s="22"/>
      <c r="B14" s="23"/>
      <c r="C14" s="23"/>
      <c r="D14" s="23"/>
      <c r="E14" s="23"/>
      <c r="F14" s="24"/>
      <c r="G14" s="23"/>
      <c r="H14" s="23"/>
    </row>
    <row r="15" customFormat="false" ht="34" hidden="false" customHeight="true" outlineLevel="0" collapsed="false">
      <c r="A15" s="22"/>
      <c r="B15" s="23"/>
      <c r="C15" s="23"/>
      <c r="D15" s="23"/>
      <c r="E15" s="23"/>
      <c r="F15" s="24"/>
      <c r="G15" s="23"/>
      <c r="H15" s="23"/>
    </row>
    <row r="16" customFormat="false" ht="34" hidden="false" customHeight="true" outlineLevel="0" collapsed="false">
      <c r="A16" s="22"/>
      <c r="B16" s="23"/>
      <c r="C16" s="23"/>
      <c r="D16" s="23"/>
      <c r="E16" s="23"/>
      <c r="F16" s="24"/>
      <c r="G16" s="23"/>
      <c r="H16" s="23"/>
    </row>
    <row r="17" customFormat="false" ht="34" hidden="false" customHeight="true" outlineLevel="0" collapsed="false">
      <c r="A17" s="22"/>
      <c r="B17" s="23"/>
      <c r="C17" s="23"/>
      <c r="D17" s="23"/>
      <c r="E17" s="23"/>
      <c r="F17" s="24"/>
      <c r="G17" s="23"/>
      <c r="H17" s="23"/>
    </row>
    <row r="18" customFormat="false" ht="34" hidden="false" customHeight="true" outlineLevel="0" collapsed="false">
      <c r="A18" s="22"/>
      <c r="B18" s="23"/>
      <c r="C18" s="23"/>
      <c r="D18" s="23"/>
      <c r="E18" s="23"/>
      <c r="F18" s="24"/>
      <c r="G18" s="23"/>
      <c r="H18" s="23"/>
    </row>
    <row r="19" customFormat="false" ht="34" hidden="false" customHeight="true" outlineLevel="0" collapsed="false">
      <c r="A19" s="22"/>
      <c r="B19" s="23"/>
      <c r="C19" s="23"/>
      <c r="D19" s="23"/>
      <c r="E19" s="23"/>
      <c r="F19" s="24"/>
      <c r="G19" s="23"/>
      <c r="H19" s="23"/>
    </row>
    <row r="20" customFormat="false" ht="34" hidden="false" customHeight="true" outlineLevel="0" collapsed="false">
      <c r="A20" s="22"/>
      <c r="B20" s="23"/>
      <c r="C20" s="23"/>
      <c r="D20" s="23"/>
      <c r="E20" s="23"/>
      <c r="F20" s="24"/>
      <c r="G20" s="23"/>
      <c r="H20" s="23"/>
    </row>
    <row r="21" customFormat="false" ht="34" hidden="false" customHeight="true" outlineLevel="0" collapsed="false">
      <c r="A21" s="22"/>
      <c r="B21" s="23"/>
      <c r="C21" s="23"/>
      <c r="D21" s="23"/>
      <c r="E21" s="23"/>
      <c r="F21" s="24"/>
      <c r="G21" s="23"/>
      <c r="H21" s="23"/>
    </row>
    <row r="22" customFormat="false" ht="34" hidden="false" customHeight="true" outlineLevel="0" collapsed="false">
      <c r="A22" s="22"/>
      <c r="B22" s="23"/>
      <c r="C22" s="23"/>
      <c r="D22" s="23"/>
      <c r="E22" s="23"/>
      <c r="F22" s="24"/>
      <c r="G22" s="23"/>
      <c r="H22" s="23"/>
    </row>
    <row r="23" customFormat="false" ht="34" hidden="false" customHeight="true" outlineLevel="0" collapsed="false">
      <c r="A23" s="22"/>
      <c r="B23" s="23"/>
      <c r="C23" s="23"/>
      <c r="D23" s="23"/>
      <c r="E23" s="23"/>
      <c r="F23" s="24"/>
      <c r="G23" s="23"/>
      <c r="H23" s="23"/>
    </row>
    <row r="24" customFormat="false" ht="34" hidden="false" customHeight="true" outlineLevel="0" collapsed="false">
      <c r="A24" s="22"/>
      <c r="B24" s="23"/>
      <c r="C24" s="23"/>
      <c r="D24" s="23"/>
      <c r="E24" s="23"/>
      <c r="F24" s="24"/>
      <c r="G24" s="23"/>
      <c r="H24" s="23"/>
    </row>
    <row r="25" customFormat="false" ht="34" hidden="false" customHeight="true" outlineLevel="0" collapsed="false">
      <c r="A25" s="22"/>
      <c r="B25" s="23"/>
      <c r="C25" s="23"/>
      <c r="D25" s="23"/>
      <c r="E25" s="23"/>
      <c r="F25" s="24"/>
      <c r="G25" s="23"/>
      <c r="H25" s="23"/>
    </row>
    <row r="26" customFormat="false" ht="34" hidden="false" customHeight="true" outlineLevel="0" collapsed="false">
      <c r="A26" s="22"/>
      <c r="B26" s="23"/>
      <c r="C26" s="23"/>
      <c r="D26" s="23"/>
      <c r="E26" s="23"/>
      <c r="F26" s="24"/>
      <c r="G26" s="23"/>
      <c r="H26" s="23"/>
    </row>
    <row r="27" customFormat="false" ht="34" hidden="false" customHeight="true" outlineLevel="0" collapsed="false">
      <c r="A27" s="22"/>
      <c r="B27" s="23"/>
      <c r="C27" s="23"/>
      <c r="D27" s="23"/>
      <c r="E27" s="23"/>
      <c r="F27" s="24"/>
      <c r="G27" s="23"/>
      <c r="H27" s="23"/>
    </row>
    <row r="28" customFormat="false" ht="34" hidden="false" customHeight="true" outlineLevel="0" collapsed="false">
      <c r="A28" s="22"/>
      <c r="B28" s="23"/>
      <c r="C28" s="23"/>
      <c r="D28" s="23"/>
      <c r="E28" s="23"/>
      <c r="F28" s="24"/>
      <c r="G28" s="23"/>
      <c r="H28" s="23"/>
    </row>
    <row r="29" customFormat="false" ht="34" hidden="false" customHeight="true" outlineLevel="0" collapsed="false">
      <c r="A29" s="22"/>
      <c r="B29" s="23"/>
      <c r="C29" s="23"/>
      <c r="D29" s="23"/>
      <c r="E29" s="23"/>
      <c r="F29" s="24"/>
      <c r="G29" s="23"/>
      <c r="H29" s="23"/>
    </row>
    <row r="30" customFormat="false" ht="34" hidden="false" customHeight="true" outlineLevel="0" collapsed="false">
      <c r="A30" s="22"/>
      <c r="B30" s="23"/>
      <c r="C30" s="23"/>
      <c r="D30" s="23"/>
      <c r="E30" s="23"/>
      <c r="F30" s="24"/>
      <c r="G30" s="23"/>
      <c r="H30" s="23"/>
    </row>
    <row r="31" customFormat="false" ht="34" hidden="false" customHeight="true" outlineLevel="0" collapsed="false">
      <c r="A31" s="22"/>
      <c r="B31" s="23"/>
      <c r="C31" s="23"/>
      <c r="D31" s="23"/>
      <c r="E31" s="23"/>
      <c r="F31" s="24"/>
      <c r="G31" s="23"/>
      <c r="H31" s="23"/>
    </row>
    <row r="32" customFormat="false" ht="34" hidden="false" customHeight="true" outlineLevel="0" collapsed="false">
      <c r="A32" s="22"/>
      <c r="B32" s="23"/>
      <c r="C32" s="23"/>
      <c r="D32" s="23"/>
      <c r="E32" s="23"/>
      <c r="F32" s="24"/>
      <c r="G32" s="23"/>
      <c r="H32" s="23"/>
    </row>
    <row r="33" customFormat="false" ht="34" hidden="false" customHeight="true" outlineLevel="0" collapsed="false">
      <c r="A33" s="22"/>
      <c r="B33" s="23"/>
      <c r="C33" s="23"/>
      <c r="D33" s="23"/>
      <c r="E33" s="23"/>
      <c r="F33" s="24"/>
      <c r="G33" s="23"/>
      <c r="H33" s="23"/>
    </row>
    <row r="34" customFormat="false" ht="34" hidden="false" customHeight="true" outlineLevel="0" collapsed="false">
      <c r="A34" s="22"/>
      <c r="B34" s="23"/>
      <c r="C34" s="23"/>
      <c r="D34" s="23"/>
      <c r="E34" s="23"/>
      <c r="F34" s="24"/>
      <c r="G34" s="23"/>
      <c r="H34" s="23"/>
    </row>
    <row r="35" customFormat="false" ht="34" hidden="false" customHeight="true" outlineLevel="0" collapsed="false">
      <c r="A35" s="22"/>
      <c r="B35" s="23"/>
      <c r="C35" s="23"/>
      <c r="D35" s="23"/>
      <c r="E35" s="23"/>
      <c r="F35" s="24"/>
      <c r="G35" s="23"/>
      <c r="H35" s="23"/>
    </row>
    <row r="36" customFormat="false" ht="34" hidden="false" customHeight="true" outlineLevel="0" collapsed="false">
      <c r="A36" s="22"/>
      <c r="B36" s="23"/>
      <c r="C36" s="23"/>
      <c r="D36" s="23"/>
      <c r="E36" s="23"/>
      <c r="F36" s="24"/>
      <c r="G36" s="23"/>
      <c r="H36" s="23"/>
    </row>
    <row r="37" customFormat="false" ht="34" hidden="false" customHeight="true" outlineLevel="0" collapsed="false">
      <c r="A37" s="22"/>
      <c r="B37" s="23"/>
      <c r="C37" s="23"/>
      <c r="D37" s="23"/>
      <c r="E37" s="23"/>
      <c r="F37" s="24"/>
      <c r="G37" s="23"/>
      <c r="H37" s="23"/>
    </row>
    <row r="38" customFormat="false" ht="34" hidden="false" customHeight="true" outlineLevel="0" collapsed="false">
      <c r="A38" s="22"/>
      <c r="B38" s="23"/>
      <c r="C38" s="23"/>
      <c r="D38" s="23"/>
      <c r="E38" s="23"/>
      <c r="F38" s="24"/>
      <c r="G38" s="23"/>
      <c r="H38" s="23"/>
    </row>
    <row r="39" customFormat="false" ht="34" hidden="false" customHeight="true" outlineLevel="0" collapsed="false">
      <c r="A39" s="22"/>
      <c r="B39" s="23"/>
      <c r="C39" s="23"/>
      <c r="D39" s="23"/>
      <c r="E39" s="23"/>
      <c r="F39" s="24"/>
      <c r="G39" s="23"/>
      <c r="H39" s="23"/>
    </row>
    <row r="40" customFormat="false" ht="34" hidden="false" customHeight="true" outlineLevel="0" collapsed="false">
      <c r="A40" s="22"/>
      <c r="B40" s="23"/>
      <c r="C40" s="23"/>
      <c r="D40" s="23"/>
      <c r="E40" s="23"/>
      <c r="F40" s="24"/>
      <c r="G40" s="23"/>
      <c r="H40" s="23"/>
    </row>
    <row r="41" customFormat="false" ht="34" hidden="false" customHeight="true" outlineLevel="0" collapsed="false">
      <c r="A41" s="22"/>
      <c r="B41" s="23"/>
      <c r="C41" s="23"/>
      <c r="D41" s="23"/>
      <c r="E41" s="23"/>
      <c r="F41" s="24"/>
      <c r="G41" s="23"/>
      <c r="H41" s="23"/>
    </row>
    <row r="42" customFormat="false" ht="34" hidden="false" customHeight="true" outlineLevel="0" collapsed="false">
      <c r="A42" s="22"/>
      <c r="B42" s="23"/>
      <c r="C42" s="23"/>
      <c r="D42" s="23"/>
      <c r="E42" s="23"/>
      <c r="F42" s="24"/>
      <c r="G42" s="23"/>
      <c r="H42" s="23"/>
    </row>
    <row r="43" customFormat="false" ht="34" hidden="false" customHeight="true" outlineLevel="0" collapsed="false">
      <c r="A43" s="22"/>
      <c r="B43" s="23"/>
      <c r="C43" s="23"/>
      <c r="D43" s="23"/>
      <c r="E43" s="23"/>
      <c r="F43" s="24"/>
      <c r="G43" s="23"/>
      <c r="H43" s="23"/>
    </row>
    <row r="44" customFormat="false" ht="34" hidden="false" customHeight="true" outlineLevel="0" collapsed="false">
      <c r="A44" s="22"/>
      <c r="B44" s="23"/>
      <c r="C44" s="23"/>
      <c r="D44" s="23"/>
      <c r="E44" s="23"/>
      <c r="F44" s="24"/>
      <c r="G44" s="23"/>
      <c r="H44" s="23"/>
    </row>
    <row r="45" customFormat="false" ht="34" hidden="false" customHeight="true" outlineLevel="0" collapsed="false">
      <c r="A45" s="22"/>
      <c r="B45" s="23"/>
      <c r="C45" s="23"/>
      <c r="D45" s="23"/>
      <c r="E45" s="23"/>
      <c r="F45" s="24"/>
      <c r="G45" s="23"/>
      <c r="H45" s="23"/>
    </row>
    <row r="46" customFormat="false" ht="34" hidden="false" customHeight="true" outlineLevel="0" collapsed="false">
      <c r="A46" s="22"/>
      <c r="B46" s="23"/>
      <c r="C46" s="23"/>
      <c r="D46" s="23"/>
      <c r="E46" s="23"/>
      <c r="F46" s="24"/>
      <c r="G46" s="23"/>
      <c r="H46" s="23"/>
    </row>
    <row r="47" customFormat="false" ht="34" hidden="false" customHeight="true" outlineLevel="0" collapsed="false">
      <c r="A47" s="22"/>
      <c r="B47" s="23"/>
      <c r="C47" s="23"/>
      <c r="D47" s="23"/>
      <c r="E47" s="23"/>
      <c r="F47" s="24"/>
      <c r="G47" s="23"/>
      <c r="H47" s="23"/>
    </row>
    <row r="48" customFormat="false" ht="34" hidden="false" customHeight="true" outlineLevel="0" collapsed="false">
      <c r="A48" s="22"/>
      <c r="B48" s="23"/>
      <c r="C48" s="23"/>
      <c r="D48" s="23"/>
      <c r="E48" s="23"/>
      <c r="F48" s="24"/>
      <c r="G48" s="23"/>
      <c r="H48" s="23"/>
    </row>
    <row r="49" customFormat="false" ht="34" hidden="false" customHeight="true" outlineLevel="0" collapsed="false">
      <c r="A49" s="22"/>
      <c r="B49" s="23"/>
      <c r="C49" s="23"/>
      <c r="D49" s="23"/>
      <c r="E49" s="23"/>
      <c r="F49" s="24"/>
      <c r="G49" s="23"/>
      <c r="H49" s="23"/>
    </row>
    <row r="50" customFormat="false" ht="34" hidden="false" customHeight="true" outlineLevel="0" collapsed="false">
      <c r="A50" s="22"/>
      <c r="B50" s="23"/>
      <c r="C50" s="23"/>
      <c r="D50" s="23"/>
      <c r="E50" s="23"/>
      <c r="F50" s="24"/>
      <c r="G50" s="23"/>
      <c r="H50" s="23"/>
    </row>
    <row r="51" customFormat="false" ht="34" hidden="false" customHeight="true" outlineLevel="0" collapsed="false">
      <c r="A51" s="22"/>
      <c r="B51" s="23"/>
      <c r="C51" s="23"/>
      <c r="D51" s="23"/>
      <c r="E51" s="23"/>
      <c r="F51" s="24"/>
      <c r="G51" s="23"/>
      <c r="H51" s="23"/>
    </row>
    <row r="52" customFormat="false" ht="34" hidden="false" customHeight="true" outlineLevel="0" collapsed="false">
      <c r="A52" s="22"/>
      <c r="B52" s="23"/>
      <c r="C52" s="23"/>
      <c r="D52" s="23"/>
      <c r="E52" s="23"/>
      <c r="F52" s="24"/>
      <c r="G52" s="23"/>
      <c r="H52" s="23"/>
    </row>
    <row r="53" customFormat="false" ht="34" hidden="false" customHeight="true" outlineLevel="0" collapsed="false">
      <c r="A53" s="22"/>
      <c r="B53" s="23"/>
      <c r="C53" s="23"/>
      <c r="D53" s="23"/>
      <c r="E53" s="23"/>
      <c r="F53" s="24"/>
      <c r="G53" s="23"/>
      <c r="H53" s="23"/>
    </row>
    <row r="54" customFormat="false" ht="34" hidden="false" customHeight="true" outlineLevel="0" collapsed="false">
      <c r="A54" s="22"/>
      <c r="B54" s="23"/>
      <c r="C54" s="23"/>
      <c r="D54" s="23"/>
      <c r="E54" s="23"/>
      <c r="F54" s="24"/>
      <c r="G54" s="23"/>
      <c r="H54" s="23"/>
    </row>
    <row r="55" customFormat="false" ht="34" hidden="false" customHeight="true" outlineLevel="0" collapsed="false">
      <c r="A55" s="22"/>
      <c r="B55" s="23"/>
      <c r="C55" s="23"/>
      <c r="D55" s="23"/>
      <c r="E55" s="23"/>
      <c r="F55" s="24"/>
      <c r="G55" s="23"/>
      <c r="H55" s="23"/>
    </row>
    <row r="56" customFormat="false" ht="34" hidden="false" customHeight="true" outlineLevel="0" collapsed="false">
      <c r="A56" s="22"/>
      <c r="B56" s="23"/>
      <c r="C56" s="23"/>
      <c r="D56" s="23"/>
      <c r="E56" s="23"/>
      <c r="F56" s="24"/>
      <c r="G56" s="23"/>
      <c r="H56" s="23"/>
    </row>
    <row r="57" customFormat="false" ht="34" hidden="false" customHeight="true" outlineLevel="0" collapsed="false">
      <c r="A57" s="22"/>
      <c r="B57" s="23"/>
      <c r="C57" s="23"/>
      <c r="D57" s="23"/>
      <c r="E57" s="23"/>
      <c r="F57" s="24"/>
      <c r="G57" s="23"/>
      <c r="H57" s="23"/>
    </row>
    <row r="58" customFormat="false" ht="34" hidden="false" customHeight="true" outlineLevel="0" collapsed="false">
      <c r="A58" s="22"/>
      <c r="B58" s="23"/>
      <c r="C58" s="23"/>
      <c r="D58" s="23"/>
      <c r="E58" s="23"/>
      <c r="F58" s="24"/>
      <c r="G58" s="23"/>
      <c r="H58" s="23"/>
    </row>
    <row r="59" customFormat="false" ht="34" hidden="false" customHeight="true" outlineLevel="0" collapsed="false">
      <c r="A59" s="22"/>
      <c r="B59" s="23"/>
      <c r="C59" s="23"/>
      <c r="D59" s="23"/>
      <c r="E59" s="23"/>
      <c r="F59" s="24"/>
      <c r="G59" s="23"/>
      <c r="H59" s="23"/>
    </row>
    <row r="60" customFormat="false" ht="34" hidden="false" customHeight="true" outlineLevel="0" collapsed="false">
      <c r="A60" s="22"/>
      <c r="B60" s="23"/>
      <c r="C60" s="23"/>
      <c r="D60" s="23"/>
      <c r="E60" s="23"/>
      <c r="F60" s="24"/>
      <c r="G60" s="23"/>
      <c r="H60" s="23"/>
    </row>
    <row r="61" customFormat="false" ht="34" hidden="false" customHeight="true" outlineLevel="0" collapsed="false">
      <c r="A61" s="22"/>
      <c r="B61" s="23"/>
      <c r="C61" s="23"/>
      <c r="D61" s="23"/>
      <c r="E61" s="23"/>
      <c r="F61" s="24"/>
      <c r="G61" s="23"/>
      <c r="H61" s="23"/>
    </row>
    <row r="62" customFormat="false" ht="34" hidden="false" customHeight="true" outlineLevel="0" collapsed="false">
      <c r="A62" s="22"/>
      <c r="B62" s="23"/>
      <c r="C62" s="23"/>
      <c r="D62" s="23"/>
      <c r="E62" s="23"/>
      <c r="F62" s="24"/>
      <c r="G62" s="23"/>
      <c r="H62" s="23"/>
    </row>
    <row r="63" customFormat="false" ht="34" hidden="false" customHeight="true" outlineLevel="0" collapsed="false">
      <c r="A63" s="22"/>
      <c r="B63" s="23"/>
      <c r="C63" s="23"/>
      <c r="D63" s="23"/>
      <c r="E63" s="23"/>
      <c r="F63" s="24"/>
      <c r="G63" s="23"/>
      <c r="H63" s="23"/>
    </row>
    <row r="64" customFormat="false" ht="34" hidden="false" customHeight="true" outlineLevel="0" collapsed="false">
      <c r="A64" s="22"/>
      <c r="B64" s="23"/>
      <c r="C64" s="23"/>
      <c r="D64" s="23"/>
      <c r="E64" s="23"/>
      <c r="F64" s="24"/>
      <c r="G64" s="23"/>
      <c r="H64" s="23"/>
    </row>
    <row r="65" customFormat="false" ht="34" hidden="false" customHeight="true" outlineLevel="0" collapsed="false">
      <c r="A65" s="22"/>
      <c r="B65" s="23"/>
      <c r="C65" s="23"/>
      <c r="D65" s="23"/>
      <c r="E65" s="23"/>
      <c r="F65" s="24"/>
      <c r="G65" s="23"/>
      <c r="H65" s="23"/>
    </row>
    <row r="66" customFormat="false" ht="34" hidden="false" customHeight="true" outlineLevel="0" collapsed="false">
      <c r="A66" s="22"/>
      <c r="B66" s="23"/>
      <c r="C66" s="23"/>
      <c r="D66" s="23"/>
      <c r="E66" s="23"/>
      <c r="F66" s="24"/>
      <c r="G66" s="23"/>
      <c r="H66" s="23"/>
    </row>
    <row r="67" customFormat="false" ht="34" hidden="false" customHeight="true" outlineLevel="0" collapsed="false">
      <c r="A67" s="22"/>
      <c r="B67" s="23"/>
      <c r="C67" s="23"/>
      <c r="D67" s="23"/>
      <c r="E67" s="23"/>
      <c r="F67" s="24"/>
      <c r="G67" s="23"/>
      <c r="H67" s="23"/>
    </row>
    <row r="68" customFormat="false" ht="34" hidden="false" customHeight="true" outlineLevel="0" collapsed="false">
      <c r="A68" s="22"/>
      <c r="B68" s="23"/>
      <c r="C68" s="23"/>
      <c r="D68" s="23"/>
      <c r="E68" s="23"/>
      <c r="F68" s="24"/>
      <c r="G68" s="23"/>
      <c r="H68" s="23"/>
    </row>
    <row r="69" customFormat="false" ht="34" hidden="false" customHeight="true" outlineLevel="0" collapsed="false">
      <c r="A69" s="22"/>
      <c r="B69" s="23"/>
      <c r="C69" s="23"/>
      <c r="D69" s="23"/>
      <c r="E69" s="23"/>
      <c r="F69" s="24"/>
      <c r="G69" s="23"/>
      <c r="H69" s="23"/>
    </row>
    <row r="70" customFormat="false" ht="34" hidden="false" customHeight="true" outlineLevel="0" collapsed="false">
      <c r="A70" s="22"/>
      <c r="B70" s="23"/>
      <c r="C70" s="23"/>
      <c r="D70" s="23"/>
      <c r="E70" s="23"/>
      <c r="F70" s="24"/>
      <c r="G70" s="23"/>
      <c r="H70" s="23"/>
    </row>
    <row r="71" customFormat="false" ht="34" hidden="false" customHeight="true" outlineLevel="0" collapsed="false">
      <c r="A71" s="22"/>
      <c r="B71" s="23"/>
      <c r="C71" s="23"/>
      <c r="D71" s="23"/>
      <c r="E71" s="23"/>
      <c r="F71" s="24"/>
      <c r="G71" s="23"/>
      <c r="H71" s="23"/>
    </row>
    <row r="72" customFormat="false" ht="34" hidden="false" customHeight="true" outlineLevel="0" collapsed="false">
      <c r="A72" s="22"/>
      <c r="B72" s="23"/>
      <c r="C72" s="23"/>
      <c r="D72" s="23"/>
      <c r="E72" s="23"/>
      <c r="F72" s="24"/>
      <c r="G72" s="23"/>
      <c r="H72" s="23"/>
    </row>
    <row r="73" customFormat="false" ht="34" hidden="false" customHeight="true" outlineLevel="0" collapsed="false">
      <c r="A73" s="22"/>
      <c r="B73" s="23"/>
      <c r="C73" s="23"/>
      <c r="D73" s="23"/>
      <c r="E73" s="23"/>
      <c r="F73" s="24"/>
      <c r="G73" s="23"/>
      <c r="H73" s="23"/>
    </row>
    <row r="74" customFormat="false" ht="34" hidden="false" customHeight="true" outlineLevel="0" collapsed="false">
      <c r="A74" s="22"/>
      <c r="B74" s="23"/>
      <c r="C74" s="23"/>
      <c r="D74" s="23"/>
      <c r="E74" s="23"/>
      <c r="F74" s="24"/>
      <c r="G74" s="23"/>
      <c r="H74" s="23"/>
    </row>
    <row r="75" customFormat="false" ht="34" hidden="false" customHeight="true" outlineLevel="0" collapsed="false">
      <c r="A75" s="22"/>
      <c r="B75" s="23"/>
      <c r="C75" s="23"/>
      <c r="D75" s="23"/>
      <c r="E75" s="23"/>
      <c r="F75" s="24"/>
      <c r="G75" s="23"/>
      <c r="H75" s="23"/>
    </row>
    <row r="76" customFormat="false" ht="34" hidden="false" customHeight="true" outlineLevel="0" collapsed="false">
      <c r="A76" s="22"/>
      <c r="B76" s="23"/>
      <c r="C76" s="23"/>
      <c r="D76" s="23"/>
      <c r="E76" s="23"/>
      <c r="F76" s="24"/>
      <c r="G76" s="23"/>
      <c r="H76" s="23"/>
    </row>
    <row r="77" customFormat="false" ht="34" hidden="false" customHeight="true" outlineLevel="0" collapsed="false">
      <c r="A77" s="22"/>
      <c r="B77" s="23"/>
      <c r="C77" s="23"/>
      <c r="D77" s="23"/>
      <c r="E77" s="23"/>
      <c r="F77" s="24"/>
      <c r="G77" s="23"/>
      <c r="H77" s="23"/>
    </row>
    <row r="78" customFormat="false" ht="34" hidden="false" customHeight="true" outlineLevel="0" collapsed="false">
      <c r="A78" s="22"/>
      <c r="B78" s="23"/>
      <c r="C78" s="23"/>
      <c r="D78" s="23"/>
      <c r="E78" s="23"/>
      <c r="F78" s="24"/>
      <c r="G78" s="23"/>
      <c r="H78" s="23"/>
    </row>
    <row r="79" customFormat="false" ht="34" hidden="false" customHeight="true" outlineLevel="0" collapsed="false">
      <c r="A79" s="22"/>
      <c r="B79" s="23"/>
      <c r="C79" s="23"/>
      <c r="D79" s="23"/>
      <c r="E79" s="23"/>
      <c r="F79" s="24"/>
      <c r="G79" s="23"/>
      <c r="H79" s="23"/>
    </row>
    <row r="80" customFormat="false" ht="34" hidden="false" customHeight="true" outlineLevel="0" collapsed="false">
      <c r="A80" s="22"/>
      <c r="B80" s="23"/>
      <c r="C80" s="23"/>
      <c r="D80" s="23"/>
      <c r="E80" s="23"/>
      <c r="F80" s="24"/>
      <c r="G80" s="23"/>
      <c r="H80" s="23"/>
    </row>
    <row r="81" customFormat="false" ht="34" hidden="false" customHeight="true" outlineLevel="0" collapsed="false">
      <c r="A81" s="22"/>
      <c r="B81" s="23"/>
      <c r="C81" s="23"/>
      <c r="D81" s="23"/>
      <c r="E81" s="23"/>
      <c r="F81" s="24"/>
      <c r="G81" s="23"/>
      <c r="H81" s="23"/>
    </row>
    <row r="82" customFormat="false" ht="34" hidden="false" customHeight="true" outlineLevel="0" collapsed="false">
      <c r="A82" s="22"/>
      <c r="B82" s="23"/>
      <c r="C82" s="23"/>
      <c r="D82" s="23"/>
      <c r="E82" s="23"/>
      <c r="F82" s="24"/>
      <c r="G82" s="23"/>
      <c r="H82" s="23"/>
    </row>
    <row r="83" customFormat="false" ht="34" hidden="false" customHeight="true" outlineLevel="0" collapsed="false">
      <c r="A83" s="22"/>
      <c r="B83" s="23"/>
      <c r="C83" s="23"/>
      <c r="D83" s="23"/>
      <c r="E83" s="23"/>
      <c r="F83" s="24"/>
      <c r="G83" s="23"/>
      <c r="H83" s="23"/>
    </row>
    <row r="84" customFormat="false" ht="34" hidden="false" customHeight="true" outlineLevel="0" collapsed="false">
      <c r="A84" s="22"/>
      <c r="B84" s="23"/>
      <c r="C84" s="23"/>
      <c r="D84" s="23"/>
      <c r="E84" s="23"/>
      <c r="F84" s="24"/>
      <c r="G84" s="23"/>
      <c r="H84" s="23"/>
    </row>
    <row r="85" customFormat="false" ht="34" hidden="false" customHeight="true" outlineLevel="0" collapsed="false">
      <c r="A85" s="22"/>
      <c r="B85" s="23"/>
      <c r="C85" s="23"/>
      <c r="D85" s="23"/>
      <c r="E85" s="23"/>
      <c r="F85" s="24"/>
      <c r="G85" s="23"/>
      <c r="H85" s="23"/>
    </row>
    <row r="86" customFormat="false" ht="34" hidden="false" customHeight="true" outlineLevel="0" collapsed="false">
      <c r="A86" s="22"/>
      <c r="B86" s="23"/>
      <c r="C86" s="23"/>
      <c r="D86" s="23"/>
      <c r="E86" s="23"/>
      <c r="F86" s="24"/>
      <c r="G86" s="23"/>
      <c r="H86" s="23"/>
    </row>
    <row r="87" customFormat="false" ht="34" hidden="false" customHeight="true" outlineLevel="0" collapsed="false">
      <c r="A87" s="22"/>
      <c r="B87" s="23"/>
      <c r="C87" s="23"/>
      <c r="D87" s="23"/>
      <c r="E87" s="23"/>
      <c r="F87" s="24"/>
      <c r="G87" s="23"/>
      <c r="H87" s="23"/>
    </row>
    <row r="88" customFormat="false" ht="34" hidden="false" customHeight="true" outlineLevel="0" collapsed="false">
      <c r="A88" s="22"/>
      <c r="B88" s="23"/>
      <c r="C88" s="23"/>
      <c r="D88" s="23"/>
      <c r="E88" s="23"/>
      <c r="F88" s="24"/>
      <c r="G88" s="23"/>
      <c r="H88" s="23"/>
    </row>
    <row r="89" customFormat="false" ht="34" hidden="false" customHeight="true" outlineLevel="0" collapsed="false">
      <c r="A89" s="22"/>
      <c r="B89" s="23"/>
      <c r="C89" s="23"/>
      <c r="D89" s="23"/>
      <c r="E89" s="23"/>
      <c r="F89" s="24"/>
      <c r="G89" s="23"/>
      <c r="H89" s="23"/>
    </row>
    <row r="90" customFormat="false" ht="34" hidden="false" customHeight="true" outlineLevel="0" collapsed="false">
      <c r="A90" s="22"/>
      <c r="B90" s="23"/>
      <c r="C90" s="23"/>
      <c r="D90" s="23"/>
      <c r="E90" s="23"/>
      <c r="F90" s="24"/>
      <c r="G90" s="23"/>
      <c r="H90" s="23"/>
    </row>
    <row r="91" customFormat="false" ht="34" hidden="false" customHeight="true" outlineLevel="0" collapsed="false">
      <c r="A91" s="22"/>
      <c r="B91" s="23"/>
      <c r="C91" s="23"/>
      <c r="D91" s="23"/>
      <c r="E91" s="23"/>
      <c r="F91" s="24"/>
      <c r="G91" s="23"/>
      <c r="H91" s="23"/>
    </row>
    <row r="92" customFormat="false" ht="34" hidden="false" customHeight="true" outlineLevel="0" collapsed="false">
      <c r="A92" s="22"/>
      <c r="B92" s="23"/>
      <c r="C92" s="23"/>
      <c r="D92" s="23"/>
      <c r="E92" s="23"/>
      <c r="F92" s="24"/>
      <c r="G92" s="23"/>
      <c r="H92" s="23"/>
    </row>
    <row r="93" customFormat="false" ht="34" hidden="false" customHeight="true" outlineLevel="0" collapsed="false">
      <c r="A93" s="22"/>
      <c r="B93" s="23"/>
      <c r="C93" s="23"/>
      <c r="D93" s="23"/>
      <c r="E93" s="23"/>
      <c r="F93" s="24"/>
      <c r="G93" s="23"/>
      <c r="H93" s="23"/>
    </row>
    <row r="94" customFormat="false" ht="34" hidden="false" customHeight="true" outlineLevel="0" collapsed="false">
      <c r="A94" s="22"/>
      <c r="B94" s="23"/>
      <c r="C94" s="23"/>
      <c r="D94" s="23"/>
      <c r="E94" s="23"/>
      <c r="F94" s="24"/>
      <c r="G94" s="23"/>
      <c r="H94" s="23"/>
    </row>
    <row r="95" customFormat="false" ht="34" hidden="false" customHeight="true" outlineLevel="0" collapsed="false">
      <c r="A95" s="22"/>
      <c r="B95" s="23"/>
      <c r="C95" s="23"/>
      <c r="D95" s="23"/>
      <c r="E95" s="23"/>
      <c r="F95" s="24"/>
      <c r="G95" s="23"/>
      <c r="H95" s="23"/>
    </row>
    <row r="96" customFormat="false" ht="34" hidden="false" customHeight="true" outlineLevel="0" collapsed="false">
      <c r="A96" s="22"/>
      <c r="B96" s="23"/>
      <c r="C96" s="23"/>
      <c r="D96" s="23"/>
      <c r="E96" s="23"/>
      <c r="F96" s="24"/>
      <c r="G96" s="23"/>
      <c r="H96" s="23"/>
    </row>
    <row r="97" customFormat="false" ht="34" hidden="false" customHeight="true" outlineLevel="0" collapsed="false">
      <c r="A97" s="22"/>
      <c r="B97" s="23"/>
      <c r="C97" s="23"/>
      <c r="D97" s="23"/>
      <c r="E97" s="23"/>
      <c r="F97" s="24"/>
      <c r="G97" s="23"/>
      <c r="H97" s="23"/>
    </row>
    <row r="98" customFormat="false" ht="34" hidden="false" customHeight="true" outlineLevel="0" collapsed="false">
      <c r="A98" s="22"/>
      <c r="B98" s="23"/>
      <c r="C98" s="23"/>
      <c r="D98" s="23"/>
      <c r="E98" s="23"/>
      <c r="F98" s="24"/>
      <c r="G98" s="23"/>
      <c r="H98" s="23"/>
    </row>
    <row r="99" customFormat="false" ht="34" hidden="false" customHeight="true" outlineLevel="0" collapsed="false">
      <c r="A99" s="22"/>
      <c r="B99" s="23"/>
      <c r="C99" s="23"/>
      <c r="D99" s="23"/>
      <c r="E99" s="23"/>
      <c r="F99" s="24"/>
      <c r="G99" s="23"/>
      <c r="H99" s="23"/>
    </row>
    <row r="100" customFormat="false" ht="34" hidden="false" customHeight="true" outlineLevel="0" collapsed="false">
      <c r="A100" s="22"/>
      <c r="B100" s="23"/>
      <c r="C100" s="23"/>
      <c r="D100" s="23"/>
      <c r="E100" s="23"/>
      <c r="F100" s="24"/>
      <c r="G100" s="23"/>
      <c r="H100" s="23"/>
    </row>
    <row r="101" customFormat="false" ht="34" hidden="false" customHeight="true" outlineLevel="0" collapsed="false">
      <c r="A101" s="22"/>
      <c r="B101" s="23"/>
      <c r="C101" s="23"/>
      <c r="D101" s="23"/>
      <c r="E101" s="23"/>
      <c r="F101" s="24"/>
      <c r="G101" s="23"/>
      <c r="H101" s="23"/>
    </row>
    <row r="102" customFormat="false" ht="34" hidden="false" customHeight="true" outlineLevel="0" collapsed="false">
      <c r="A102" s="22"/>
      <c r="B102" s="23"/>
      <c r="C102" s="23"/>
      <c r="D102" s="23"/>
      <c r="E102" s="23"/>
      <c r="F102" s="24"/>
      <c r="G102" s="23"/>
      <c r="H102" s="23"/>
    </row>
    <row r="103" customFormat="false" ht="34" hidden="false" customHeight="true" outlineLevel="0" collapsed="false">
      <c r="A103" s="22"/>
      <c r="B103" s="23"/>
      <c r="C103" s="23"/>
      <c r="D103" s="23"/>
      <c r="E103" s="23"/>
      <c r="F103" s="24"/>
      <c r="G103" s="23"/>
      <c r="H103" s="23"/>
    </row>
    <row r="104" customFormat="false" ht="34" hidden="false" customHeight="true" outlineLevel="0" collapsed="false">
      <c r="A104" s="22"/>
      <c r="B104" s="23"/>
      <c r="C104" s="23"/>
      <c r="D104" s="23"/>
      <c r="E104" s="23"/>
      <c r="F104" s="24"/>
      <c r="G104" s="23"/>
      <c r="H104" s="23"/>
    </row>
    <row r="105" customFormat="false" ht="34" hidden="false" customHeight="true" outlineLevel="0" collapsed="false">
      <c r="A105" s="22"/>
      <c r="B105" s="23"/>
      <c r="C105" s="23"/>
      <c r="D105" s="23"/>
      <c r="E105" s="23"/>
      <c r="F105" s="24"/>
      <c r="G105" s="23"/>
      <c r="H105" s="23"/>
    </row>
    <row r="106" customFormat="false" ht="34" hidden="false" customHeight="true" outlineLevel="0" collapsed="false">
      <c r="A106" s="22"/>
      <c r="B106" s="23"/>
      <c r="C106" s="23"/>
      <c r="D106" s="23"/>
      <c r="E106" s="23"/>
      <c r="F106" s="24"/>
      <c r="G106" s="23"/>
      <c r="H106" s="23"/>
    </row>
    <row r="107" customFormat="false" ht="34" hidden="false" customHeight="true" outlineLevel="0" collapsed="false">
      <c r="A107" s="22"/>
      <c r="B107" s="23"/>
      <c r="C107" s="23"/>
      <c r="D107" s="23"/>
      <c r="E107" s="23"/>
      <c r="F107" s="24"/>
      <c r="G107" s="23"/>
      <c r="H107" s="23"/>
    </row>
    <row r="108" customFormat="false" ht="34" hidden="false" customHeight="true" outlineLevel="0" collapsed="false">
      <c r="A108" s="22"/>
      <c r="B108" s="23"/>
      <c r="C108" s="23"/>
      <c r="D108" s="23"/>
      <c r="E108" s="23"/>
      <c r="F108" s="24"/>
      <c r="G108" s="23"/>
      <c r="H108" s="23"/>
    </row>
    <row r="109" customFormat="false" ht="34" hidden="false" customHeight="true" outlineLevel="0" collapsed="false">
      <c r="A109" s="22"/>
      <c r="B109" s="23"/>
      <c r="C109" s="23"/>
      <c r="D109" s="23"/>
      <c r="E109" s="23"/>
      <c r="F109" s="24"/>
      <c r="G109" s="23"/>
      <c r="H109" s="23"/>
    </row>
    <row r="110" customFormat="false" ht="34" hidden="false" customHeight="true" outlineLevel="0" collapsed="false">
      <c r="A110" s="22"/>
      <c r="B110" s="23"/>
      <c r="C110" s="23"/>
      <c r="D110" s="23"/>
      <c r="E110" s="23"/>
      <c r="F110" s="24"/>
      <c r="G110" s="23"/>
      <c r="H110" s="23"/>
    </row>
    <row r="111" customFormat="false" ht="34" hidden="false" customHeight="true" outlineLevel="0" collapsed="false">
      <c r="A111" s="22"/>
      <c r="B111" s="23"/>
      <c r="C111" s="23"/>
      <c r="D111" s="23"/>
      <c r="E111" s="23"/>
      <c r="F111" s="24"/>
      <c r="G111" s="23"/>
      <c r="H111" s="23"/>
    </row>
    <row r="112" customFormat="false" ht="34" hidden="false" customHeight="true" outlineLevel="0" collapsed="false">
      <c r="A112" s="22"/>
      <c r="B112" s="23"/>
      <c r="C112" s="23"/>
      <c r="D112" s="23"/>
      <c r="E112" s="23"/>
      <c r="F112" s="24"/>
      <c r="G112" s="23"/>
      <c r="H112" s="23"/>
    </row>
    <row r="113" customFormat="false" ht="34" hidden="false" customHeight="true" outlineLevel="0" collapsed="false">
      <c r="A113" s="22"/>
      <c r="B113" s="23"/>
      <c r="C113" s="23"/>
      <c r="D113" s="23"/>
      <c r="E113" s="23"/>
      <c r="F113" s="24"/>
      <c r="G113" s="23"/>
      <c r="H113" s="23"/>
    </row>
    <row r="114" customFormat="false" ht="34" hidden="false" customHeight="true" outlineLevel="0" collapsed="false">
      <c r="A114" s="22"/>
      <c r="B114" s="23"/>
      <c r="C114" s="23"/>
      <c r="D114" s="23"/>
      <c r="E114" s="23"/>
      <c r="F114" s="24"/>
      <c r="G114" s="23"/>
      <c r="H114" s="23"/>
    </row>
    <row r="115" customFormat="false" ht="34" hidden="false" customHeight="true" outlineLevel="0" collapsed="false">
      <c r="A115" s="22"/>
      <c r="B115" s="23"/>
      <c r="C115" s="23"/>
      <c r="D115" s="23"/>
      <c r="E115" s="23"/>
      <c r="F115" s="24"/>
      <c r="G115" s="23"/>
      <c r="H115" s="23"/>
    </row>
    <row r="116" customFormat="false" ht="34" hidden="false" customHeight="true" outlineLevel="0" collapsed="false">
      <c r="A116" s="22"/>
      <c r="B116" s="23"/>
      <c r="C116" s="23"/>
      <c r="D116" s="23"/>
      <c r="E116" s="23"/>
      <c r="F116" s="24"/>
      <c r="G116" s="23"/>
      <c r="H116" s="23"/>
    </row>
    <row r="117" customFormat="false" ht="34" hidden="false" customHeight="true" outlineLevel="0" collapsed="false">
      <c r="A117" s="22"/>
      <c r="B117" s="23"/>
      <c r="C117" s="23"/>
      <c r="D117" s="23"/>
      <c r="E117" s="23"/>
      <c r="F117" s="24"/>
      <c r="G117" s="23"/>
      <c r="H117" s="23"/>
    </row>
    <row r="118" customFormat="false" ht="34" hidden="false" customHeight="true" outlineLevel="0" collapsed="false">
      <c r="A118" s="22"/>
      <c r="B118" s="23"/>
      <c r="C118" s="23"/>
      <c r="D118" s="23"/>
      <c r="E118" s="23"/>
      <c r="F118" s="24"/>
      <c r="G118" s="23"/>
      <c r="H118" s="23"/>
    </row>
    <row r="119" customFormat="false" ht="34" hidden="false" customHeight="true" outlineLevel="0" collapsed="false">
      <c r="A119" s="22"/>
      <c r="B119" s="23"/>
      <c r="C119" s="23"/>
      <c r="D119" s="23"/>
      <c r="E119" s="23"/>
      <c r="F119" s="24"/>
      <c r="G119" s="23"/>
      <c r="H119" s="23"/>
    </row>
    <row r="120" customFormat="false" ht="34" hidden="false" customHeight="true" outlineLevel="0" collapsed="false">
      <c r="A120" s="22"/>
      <c r="B120" s="23"/>
      <c r="C120" s="23"/>
      <c r="D120" s="23"/>
      <c r="E120" s="23"/>
      <c r="F120" s="24"/>
      <c r="G120" s="23"/>
      <c r="H120" s="23"/>
    </row>
    <row r="121" customFormat="false" ht="34" hidden="false" customHeight="true" outlineLevel="0" collapsed="false">
      <c r="A121" s="22"/>
      <c r="B121" s="23"/>
      <c r="C121" s="23"/>
      <c r="D121" s="23"/>
      <c r="E121" s="23"/>
      <c r="F121" s="24"/>
      <c r="G121" s="23"/>
      <c r="H121" s="23"/>
    </row>
  </sheetData>
  <autoFilter ref="A1:H121"/>
  <dataValidations count="5">
    <dataValidation allowBlank="true" error="Informe somente uma data válida, sem horário." errorStyle="stop" errorTitle="Valor inválido" operator="between" showDropDown="false" showErrorMessage="true" showInputMessage="false" sqref="A2:A121" type="date">
      <formula1>DATE(2020,1,1)</formula1>
      <formula2>DATE(2100,12,31)</formula2>
    </dataValidation>
    <dataValidation allowBlank="true" error="Escolha uma categoria da lista." errorStyle="stop" errorTitle="Valor inválido" operator="between" showDropDown="false" showErrorMessage="true" showInputMessage="false" sqref="C2:C121" type="list">
      <formula1>"Serviços,Produtos,Estoque,Estrutura,Equipe,Marketing,Impostos,Outros"</formula1>
      <formula2>0</formula2>
    </dataValidation>
    <dataValidation allowBlank="false" error="Escolha Entrada ou Saída." errorStyle="stop" errorTitle="Valor inválido" operator="between" showDropDown="false" showErrorMessage="true" showInputMessage="false" sqref="D2:D121" type="list">
      <formula1>"Entrada,Saída"</formula1>
      <formula2>0</formula2>
    </dataValidation>
    <dataValidation allowBlank="true" error="Escolha uma forma de pagamento da lista." errorStyle="stop" errorTitle="Valor inválido" operator="between" showDropDown="false" showErrorMessage="true" showInputMessage="false" sqref="E2:E121" type="list">
      <formula1>"Pix,Cartão,Dinheiro,Boleto,Transferência,Outro"</formula1>
      <formula2>0</formula2>
    </dataValidation>
    <dataValidation allowBlank="true" error="Use um valor positivo e classifique como Entrada ou Saída." errorStyle="stop" errorTitle="Valor inválido" operator="greaterThan" showDropDown="false" showErrorMessage="true" showInputMessage="false" sqref="F2:F121" type="decimal">
      <formula1>0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2.84"/>
    <col collapsed="false" customWidth="true" hidden="false" outlineLevel="0" max="3" min="2" style="0" width="20.84"/>
    <col collapsed="false" customWidth="true" hidden="false" outlineLevel="0" max="5" min="4" style="0" width="22.84"/>
  </cols>
  <sheetData>
    <row r="1" customFormat="false" ht="30" hidden="false" customHeight="true" outlineLevel="0" collapsed="false">
      <c r="A1" s="20" t="s">
        <v>67</v>
      </c>
      <c r="B1" s="20" t="s">
        <v>68</v>
      </c>
      <c r="C1" s="20" t="s">
        <v>69</v>
      </c>
      <c r="D1" s="20" t="s">
        <v>70</v>
      </c>
      <c r="E1" s="20" t="s">
        <v>71</v>
      </c>
    </row>
    <row r="2" customFormat="false" ht="34" hidden="false" customHeight="true" outlineLevel="0" collapsed="false">
      <c r="A2" s="25" t="n">
        <f aca="false">IF(ROW()-1&lt;=Configuração!$B$3,Configuração!$B$2+(ROW()-2)*7,"")</f>
        <v>46237</v>
      </c>
      <c r="B2" s="26" t="n">
        <f aca="false">IF(A2="","",SUMIFS(Lançamentos!$F$2:$F$121,Lançamentos!$D$2:$D$121,"Entrada",Lançamentos!$A$2:$A$121,"&gt;="&amp;A2,Lançamentos!$A$2:$A$121,"&lt;"&amp;A2+7))</f>
        <v>2180</v>
      </c>
      <c r="C2" s="26" t="n">
        <f aca="false">IF(A2="","",SUMIFS(Lançamentos!$F$2:$F$121,Lançamentos!$D$2:$D$121,"Saída",Lançamentos!$A$2:$A$121,"&gt;="&amp;A2,Lançamentos!$A$2:$A$121,"&lt;"&amp;A2+7))</f>
        <v>470</v>
      </c>
      <c r="D2" s="26" t="n">
        <f aca="false">IF(A2="","",B2-C2)</f>
        <v>1710</v>
      </c>
      <c r="E2" s="26" t="n">
        <f aca="false">IF(A2="","",Configuração!$B$4+D2)</f>
        <v>1710</v>
      </c>
    </row>
    <row r="3" customFormat="false" ht="34" hidden="false" customHeight="true" outlineLevel="0" collapsed="false">
      <c r="A3" s="25" t="n">
        <f aca="false">IF(ROW()-1&lt;=Configuração!$B$3,Configuração!$B$2+(ROW()-2)*7,"")</f>
        <v>46244</v>
      </c>
      <c r="B3" s="26" t="n">
        <f aca="false">IF(A3="","",SUMIFS(Lançamentos!$F$2:$F$121,Lançamentos!$D$2:$D$121,"Entrada",Lançamentos!$A$2:$A$121,"&gt;="&amp;A3,Lançamentos!$A$2:$A$121,"&lt;"&amp;A3+7))</f>
        <v>0</v>
      </c>
      <c r="C3" s="26" t="n">
        <f aca="false">IF(A3="","",SUMIFS(Lançamentos!$F$2:$F$121,Lançamentos!$D$2:$D$121,"Saída",Lançamentos!$A$2:$A$121,"&gt;="&amp;A3,Lançamentos!$A$2:$A$121,"&lt;"&amp;A3+7))</f>
        <v>0</v>
      </c>
      <c r="D3" s="26" t="n">
        <f aca="false">IF(A3="","",B3-C3)</f>
        <v>0</v>
      </c>
      <c r="E3" s="26" t="n">
        <f aca="false">IF(A3="","",E2+D3)</f>
        <v>1710</v>
      </c>
    </row>
    <row r="4" customFormat="false" ht="34" hidden="false" customHeight="true" outlineLevel="0" collapsed="false">
      <c r="A4" s="25" t="n">
        <f aca="false">IF(ROW()-1&lt;=Configuração!$B$3,Configuração!$B$2+(ROW()-2)*7,"")</f>
        <v>46251</v>
      </c>
      <c r="B4" s="26" t="n">
        <f aca="false">IF(A4="","",SUMIFS(Lançamentos!$F$2:$F$121,Lançamentos!$D$2:$D$121,"Entrada",Lançamentos!$A$2:$A$121,"&gt;="&amp;A4,Lançamentos!$A$2:$A$121,"&lt;"&amp;A4+7))</f>
        <v>0</v>
      </c>
      <c r="C4" s="26" t="n">
        <f aca="false">IF(A4="","",SUMIFS(Lançamentos!$F$2:$F$121,Lançamentos!$D$2:$D$121,"Saída",Lançamentos!$A$2:$A$121,"&gt;="&amp;A4,Lançamentos!$A$2:$A$121,"&lt;"&amp;A4+7))</f>
        <v>0</v>
      </c>
      <c r="D4" s="26" t="n">
        <f aca="false">IF(A4="","",B4-C4)</f>
        <v>0</v>
      </c>
      <c r="E4" s="26" t="n">
        <f aca="false">IF(A4="","",E3+D4)</f>
        <v>1710</v>
      </c>
    </row>
    <row r="5" customFormat="false" ht="34" hidden="false" customHeight="true" outlineLevel="0" collapsed="false">
      <c r="A5" s="25" t="n">
        <f aca="false">IF(ROW()-1&lt;=Configuração!$B$3,Configuração!$B$2+(ROW()-2)*7,"")</f>
        <v>46258</v>
      </c>
      <c r="B5" s="26" t="n">
        <f aca="false">IF(A5="","",SUMIFS(Lançamentos!$F$2:$F$121,Lançamentos!$D$2:$D$121,"Entrada",Lançamentos!$A$2:$A$121,"&gt;="&amp;A5,Lançamentos!$A$2:$A$121,"&lt;"&amp;A5+7))</f>
        <v>0</v>
      </c>
      <c r="C5" s="26" t="n">
        <f aca="false">IF(A5="","",SUMIFS(Lançamentos!$F$2:$F$121,Lançamentos!$D$2:$D$121,"Saída",Lançamentos!$A$2:$A$121,"&gt;="&amp;A5,Lançamentos!$A$2:$A$121,"&lt;"&amp;A5+7))</f>
        <v>0</v>
      </c>
      <c r="D5" s="26" t="n">
        <f aca="false">IF(A5="","",B5-C5)</f>
        <v>0</v>
      </c>
      <c r="E5" s="26" t="n">
        <f aca="false">IF(A5="","",E4+D5)</f>
        <v>1710</v>
      </c>
    </row>
    <row r="6" customFormat="false" ht="34" hidden="false" customHeight="true" outlineLevel="0" collapsed="false">
      <c r="A6" s="25" t="n">
        <f aca="false">IF(ROW()-1&lt;=Configuração!$B$3,Configuração!$B$2+(ROW()-2)*7,"")</f>
        <v>46265</v>
      </c>
      <c r="B6" s="26" t="n">
        <f aca="false">IF(A6="","",SUMIFS(Lançamentos!$F$2:$F$121,Lançamentos!$D$2:$D$121,"Entrada",Lançamentos!$A$2:$A$121,"&gt;="&amp;A6,Lançamentos!$A$2:$A$121,"&lt;"&amp;A6+7))</f>
        <v>0</v>
      </c>
      <c r="C6" s="26" t="n">
        <f aca="false">IF(A6="","",SUMIFS(Lançamentos!$F$2:$F$121,Lançamentos!$D$2:$D$121,"Saída",Lançamentos!$A$2:$A$121,"&gt;="&amp;A6,Lançamentos!$A$2:$A$121,"&lt;"&amp;A6+7))</f>
        <v>0</v>
      </c>
      <c r="D6" s="26" t="n">
        <f aca="false">IF(A6="","",B6-C6)</f>
        <v>0</v>
      </c>
      <c r="E6" s="26" t="n">
        <f aca="false">IF(A6="","",E5+D6)</f>
        <v>1710</v>
      </c>
    </row>
    <row r="7" customFormat="false" ht="34" hidden="false" customHeight="true" outlineLevel="0" collapsed="false">
      <c r="A7" s="25" t="n">
        <f aca="false">IF(ROW()-1&lt;=Configuração!$B$3,Configuração!$B$2+(ROW()-2)*7,"")</f>
        <v>46272</v>
      </c>
      <c r="B7" s="26" t="n">
        <f aca="false">IF(A7="","",SUMIFS(Lançamentos!$F$2:$F$121,Lançamentos!$D$2:$D$121,"Entrada",Lançamentos!$A$2:$A$121,"&gt;="&amp;A7,Lançamentos!$A$2:$A$121,"&lt;"&amp;A7+7))</f>
        <v>0</v>
      </c>
      <c r="C7" s="26" t="n">
        <f aca="false">IF(A7="","",SUMIFS(Lançamentos!$F$2:$F$121,Lançamentos!$D$2:$D$121,"Saída",Lançamentos!$A$2:$A$121,"&gt;="&amp;A7,Lançamentos!$A$2:$A$121,"&lt;"&amp;A7+7))</f>
        <v>0</v>
      </c>
      <c r="D7" s="26" t="n">
        <f aca="false">IF(A7="","",B7-C7)</f>
        <v>0</v>
      </c>
      <c r="E7" s="26" t="n">
        <f aca="false">IF(A7="","",E6+D7)</f>
        <v>1710</v>
      </c>
    </row>
    <row r="8" customFormat="false" ht="34" hidden="false" customHeight="true" outlineLevel="0" collapsed="false">
      <c r="A8" s="25" t="n">
        <f aca="false">IF(ROW()-1&lt;=Configuração!$B$3,Configuração!$B$2+(ROW()-2)*7,"")</f>
        <v>46279</v>
      </c>
      <c r="B8" s="26" t="n">
        <f aca="false">IF(A8="","",SUMIFS(Lançamentos!$F$2:$F$121,Lançamentos!$D$2:$D$121,"Entrada",Lançamentos!$A$2:$A$121,"&gt;="&amp;A8,Lançamentos!$A$2:$A$121,"&lt;"&amp;A8+7))</f>
        <v>0</v>
      </c>
      <c r="C8" s="26" t="n">
        <f aca="false">IF(A8="","",SUMIFS(Lançamentos!$F$2:$F$121,Lançamentos!$D$2:$D$121,"Saída",Lançamentos!$A$2:$A$121,"&gt;="&amp;A8,Lançamentos!$A$2:$A$121,"&lt;"&amp;A8+7))</f>
        <v>0</v>
      </c>
      <c r="D8" s="26" t="n">
        <f aca="false">IF(A8="","",B8-C8)</f>
        <v>0</v>
      </c>
      <c r="E8" s="26" t="n">
        <f aca="false">IF(A8="","",E7+D8)</f>
        <v>1710</v>
      </c>
    </row>
    <row r="9" customFormat="false" ht="34" hidden="false" customHeight="true" outlineLevel="0" collapsed="false">
      <c r="A9" s="25" t="n">
        <f aca="false">IF(ROW()-1&lt;=Configuração!$B$3,Configuração!$B$2+(ROW()-2)*7,"")</f>
        <v>46286</v>
      </c>
      <c r="B9" s="26" t="n">
        <f aca="false">IF(A9="","",SUMIFS(Lançamentos!$F$2:$F$121,Lançamentos!$D$2:$D$121,"Entrada",Lançamentos!$A$2:$A$121,"&gt;="&amp;A9,Lançamentos!$A$2:$A$121,"&lt;"&amp;A9+7))</f>
        <v>0</v>
      </c>
      <c r="C9" s="26" t="n">
        <f aca="false">IF(A9="","",SUMIFS(Lançamentos!$F$2:$F$121,Lançamentos!$D$2:$D$121,"Saída",Lançamentos!$A$2:$A$121,"&gt;="&amp;A9,Lançamentos!$A$2:$A$121,"&lt;"&amp;A9+7))</f>
        <v>0</v>
      </c>
      <c r="D9" s="26" t="n">
        <f aca="false">IF(A9="","",B9-C9)</f>
        <v>0</v>
      </c>
      <c r="E9" s="26" t="n">
        <f aca="false">IF(A9="","",E8+D9)</f>
        <v>1710</v>
      </c>
    </row>
    <row r="10" customFormat="false" ht="34" hidden="false" customHeight="true" outlineLevel="0" collapsed="false">
      <c r="A10" s="25" t="n">
        <f aca="false">IF(ROW()-1&lt;=Configuração!$B$3,Configuração!$B$2+(ROW()-2)*7,"")</f>
        <v>46293</v>
      </c>
      <c r="B10" s="26" t="n">
        <f aca="false">IF(A10="","",SUMIFS(Lançamentos!$F$2:$F$121,Lançamentos!$D$2:$D$121,"Entrada",Lançamentos!$A$2:$A$121,"&gt;="&amp;A10,Lançamentos!$A$2:$A$121,"&lt;"&amp;A10+7))</f>
        <v>0</v>
      </c>
      <c r="C10" s="26" t="n">
        <f aca="false">IF(A10="","",SUMIFS(Lançamentos!$F$2:$F$121,Lançamentos!$D$2:$D$121,"Saída",Lançamentos!$A$2:$A$121,"&gt;="&amp;A10,Lançamentos!$A$2:$A$121,"&lt;"&amp;A10+7))</f>
        <v>0</v>
      </c>
      <c r="D10" s="26" t="n">
        <f aca="false">IF(A10="","",B10-C10)</f>
        <v>0</v>
      </c>
      <c r="E10" s="26" t="n">
        <f aca="false">IF(A10="","",E9+D10)</f>
        <v>1710</v>
      </c>
    </row>
    <row r="11" customFormat="false" ht="34" hidden="false" customHeight="true" outlineLevel="0" collapsed="false">
      <c r="A11" s="25" t="n">
        <f aca="false">IF(ROW()-1&lt;=Configuração!$B$3,Configuração!$B$2+(ROW()-2)*7,"")</f>
        <v>46300</v>
      </c>
      <c r="B11" s="26" t="n">
        <f aca="false">IF(A11="","",SUMIFS(Lançamentos!$F$2:$F$121,Lançamentos!$D$2:$D$121,"Entrada",Lançamentos!$A$2:$A$121,"&gt;="&amp;A11,Lançamentos!$A$2:$A$121,"&lt;"&amp;A11+7))</f>
        <v>0</v>
      </c>
      <c r="C11" s="26" t="n">
        <f aca="false">IF(A11="","",SUMIFS(Lançamentos!$F$2:$F$121,Lançamentos!$D$2:$D$121,"Saída",Lançamentos!$A$2:$A$121,"&gt;="&amp;A11,Lançamentos!$A$2:$A$121,"&lt;"&amp;A11+7))</f>
        <v>0</v>
      </c>
      <c r="D11" s="26" t="n">
        <f aca="false">IF(A11="","",B11-C11)</f>
        <v>0</v>
      </c>
      <c r="E11" s="26" t="n">
        <f aca="false">IF(A11="","",E10+D11)</f>
        <v>1710</v>
      </c>
    </row>
    <row r="12" customFormat="false" ht="34" hidden="false" customHeight="true" outlineLevel="0" collapsed="false">
      <c r="A12" s="25" t="n">
        <f aca="false">IF(ROW()-1&lt;=Configuração!$B$3,Configuração!$B$2+(ROW()-2)*7,"")</f>
        <v>46307</v>
      </c>
      <c r="B12" s="26" t="n">
        <f aca="false">IF(A12="","",SUMIFS(Lançamentos!$F$2:$F$121,Lançamentos!$D$2:$D$121,"Entrada",Lançamentos!$A$2:$A$121,"&gt;="&amp;A12,Lançamentos!$A$2:$A$121,"&lt;"&amp;A12+7))</f>
        <v>0</v>
      </c>
      <c r="C12" s="26" t="n">
        <f aca="false">IF(A12="","",SUMIFS(Lançamentos!$F$2:$F$121,Lançamentos!$D$2:$D$121,"Saída",Lançamentos!$A$2:$A$121,"&gt;="&amp;A12,Lançamentos!$A$2:$A$121,"&lt;"&amp;A12+7))</f>
        <v>0</v>
      </c>
      <c r="D12" s="26" t="n">
        <f aca="false">IF(A12="","",B12-C12)</f>
        <v>0</v>
      </c>
      <c r="E12" s="26" t="n">
        <f aca="false">IF(A12="","",E11+D12)</f>
        <v>1710</v>
      </c>
    </row>
    <row r="13" customFormat="false" ht="34" hidden="false" customHeight="true" outlineLevel="0" collapsed="false">
      <c r="A13" s="25" t="n">
        <f aca="false">IF(ROW()-1&lt;=Configuração!$B$3,Configuração!$B$2+(ROW()-2)*7,"")</f>
        <v>46314</v>
      </c>
      <c r="B13" s="26" t="n">
        <f aca="false">IF(A13="","",SUMIFS(Lançamentos!$F$2:$F$121,Lançamentos!$D$2:$D$121,"Entrada",Lançamentos!$A$2:$A$121,"&gt;="&amp;A13,Lançamentos!$A$2:$A$121,"&lt;"&amp;A13+7))</f>
        <v>0</v>
      </c>
      <c r="C13" s="26" t="n">
        <f aca="false">IF(A13="","",SUMIFS(Lançamentos!$F$2:$F$121,Lançamentos!$D$2:$D$121,"Saída",Lançamentos!$A$2:$A$121,"&gt;="&amp;A13,Lançamentos!$A$2:$A$121,"&lt;"&amp;A13+7))</f>
        <v>0</v>
      </c>
      <c r="D13" s="26" t="n">
        <f aca="false">IF(A13="","",B13-C13)</f>
        <v>0</v>
      </c>
      <c r="E13" s="26" t="n">
        <f aca="false">IF(A13="","",E12+D13)</f>
        <v>1710</v>
      </c>
    </row>
    <row r="14" customFormat="false" ht="34" hidden="false" customHeight="true" outlineLevel="0" collapsed="false">
      <c r="A14" s="25" t="str">
        <f aca="false">IF(ROW()-1&lt;=Configuração!$B$3,Configuração!$B$2+(ROW()-2)*7,"")</f>
        <v/>
      </c>
      <c r="B14" s="26" t="str">
        <f aca="false">IF(A14="","",SUMIFS(Lançamentos!$F$2:$F$121,Lançamentos!$D$2:$D$121,"Entrada",Lançamentos!$A$2:$A$121,"&gt;="&amp;A14,Lançamentos!$A$2:$A$121,"&lt;"&amp;A14+7))</f>
        <v/>
      </c>
      <c r="C14" s="26" t="str">
        <f aca="false">IF(A14="","",SUMIFS(Lançamentos!$F$2:$F$121,Lançamentos!$D$2:$D$121,"Saída",Lançamentos!$A$2:$A$121,"&gt;="&amp;A14,Lançamentos!$A$2:$A$121,"&lt;"&amp;A14+7))</f>
        <v/>
      </c>
      <c r="D14" s="26" t="str">
        <f aca="false">IF(A14="","",B14-C14)</f>
        <v/>
      </c>
      <c r="E14" s="26" t="str">
        <f aca="false">IF(A14="","",E13+D14)</f>
        <v/>
      </c>
    </row>
    <row r="15" customFormat="false" ht="34" hidden="false" customHeight="true" outlineLevel="0" collapsed="false">
      <c r="A15" s="25" t="str">
        <f aca="false">IF(ROW()-1&lt;=Configuração!$B$3,Configuração!$B$2+(ROW()-2)*7,"")</f>
        <v/>
      </c>
      <c r="B15" s="26" t="str">
        <f aca="false">IF(A15="","",SUMIFS(Lançamentos!$F$2:$F$121,Lançamentos!$D$2:$D$121,"Entrada",Lançamentos!$A$2:$A$121,"&gt;="&amp;A15,Lançamentos!$A$2:$A$121,"&lt;"&amp;A15+7))</f>
        <v/>
      </c>
      <c r="C15" s="26" t="str">
        <f aca="false">IF(A15="","",SUMIFS(Lançamentos!$F$2:$F$121,Lançamentos!$D$2:$D$121,"Saída",Lançamentos!$A$2:$A$121,"&gt;="&amp;A15,Lançamentos!$A$2:$A$121,"&lt;"&amp;A15+7))</f>
        <v/>
      </c>
      <c r="D15" s="26" t="str">
        <f aca="false">IF(A15="","",B15-C15)</f>
        <v/>
      </c>
      <c r="E15" s="26" t="str">
        <f aca="false">IF(A15="","",E14+D15)</f>
        <v/>
      </c>
    </row>
    <row r="16" customFormat="false" ht="34" hidden="false" customHeight="true" outlineLevel="0" collapsed="false">
      <c r="A16" s="25" t="str">
        <f aca="false">IF(ROW()-1&lt;=Configuração!$B$3,Configuração!$B$2+(ROW()-2)*7,"")</f>
        <v/>
      </c>
      <c r="B16" s="26" t="str">
        <f aca="false">IF(A16="","",SUMIFS(Lançamentos!$F$2:$F$121,Lançamentos!$D$2:$D$121,"Entrada",Lançamentos!$A$2:$A$121,"&gt;="&amp;A16,Lançamentos!$A$2:$A$121,"&lt;"&amp;A16+7))</f>
        <v/>
      </c>
      <c r="C16" s="26" t="str">
        <f aca="false">IF(A16="","",SUMIFS(Lançamentos!$F$2:$F$121,Lançamentos!$D$2:$D$121,"Saída",Lançamentos!$A$2:$A$121,"&gt;="&amp;A16,Lançamentos!$A$2:$A$121,"&lt;"&amp;A16+7))</f>
        <v/>
      </c>
      <c r="D16" s="26" t="str">
        <f aca="false">IF(A16="","",B16-C16)</f>
        <v/>
      </c>
      <c r="E16" s="26" t="str">
        <f aca="false">IF(A16="","",E15+D16)</f>
        <v/>
      </c>
    </row>
    <row r="17" customFormat="false" ht="34" hidden="false" customHeight="true" outlineLevel="0" collapsed="false">
      <c r="A17" s="25" t="str">
        <f aca="false">IF(ROW()-1&lt;=Configuração!$B$3,Configuração!$B$2+(ROW()-2)*7,"")</f>
        <v/>
      </c>
      <c r="B17" s="26" t="str">
        <f aca="false">IF(A17="","",SUMIFS(Lançamentos!$F$2:$F$121,Lançamentos!$D$2:$D$121,"Entrada",Lançamentos!$A$2:$A$121,"&gt;="&amp;A17,Lançamentos!$A$2:$A$121,"&lt;"&amp;A17+7))</f>
        <v/>
      </c>
      <c r="C17" s="26" t="str">
        <f aca="false">IF(A17="","",SUMIFS(Lançamentos!$F$2:$F$121,Lançamentos!$D$2:$D$121,"Saída",Lançamentos!$A$2:$A$121,"&gt;="&amp;A17,Lançamentos!$A$2:$A$121,"&lt;"&amp;A17+7))</f>
        <v/>
      </c>
      <c r="D17" s="26" t="str">
        <f aca="false">IF(A17="","",B17-C17)</f>
        <v/>
      </c>
      <c r="E17" s="26" t="str">
        <f aca="false">IF(A17="","",E16+D17)</f>
        <v/>
      </c>
    </row>
    <row r="18" customFormat="false" ht="34" hidden="false" customHeight="true" outlineLevel="0" collapsed="false">
      <c r="A18" s="25" t="str">
        <f aca="false">IF(ROW()-1&lt;=Configuração!$B$3,Configuração!$B$2+(ROW()-2)*7,"")</f>
        <v/>
      </c>
      <c r="B18" s="26" t="str">
        <f aca="false">IF(A18="","",SUMIFS(Lançamentos!$F$2:$F$121,Lançamentos!$D$2:$D$121,"Entrada",Lançamentos!$A$2:$A$121,"&gt;="&amp;A18,Lançamentos!$A$2:$A$121,"&lt;"&amp;A18+7))</f>
        <v/>
      </c>
      <c r="C18" s="26" t="str">
        <f aca="false">IF(A18="","",SUMIFS(Lançamentos!$F$2:$F$121,Lançamentos!$D$2:$D$121,"Saída",Lançamentos!$A$2:$A$121,"&gt;="&amp;A18,Lançamentos!$A$2:$A$121,"&lt;"&amp;A18+7))</f>
        <v/>
      </c>
      <c r="D18" s="26" t="str">
        <f aca="false">IF(A18="","",B18-C18)</f>
        <v/>
      </c>
      <c r="E18" s="26" t="str">
        <f aca="false">IF(A18="","",E17+D18)</f>
        <v/>
      </c>
    </row>
    <row r="19" customFormat="false" ht="34" hidden="false" customHeight="true" outlineLevel="0" collapsed="false">
      <c r="A19" s="25" t="str">
        <f aca="false">IF(ROW()-1&lt;=Configuração!$B$3,Configuração!$B$2+(ROW()-2)*7,"")</f>
        <v/>
      </c>
      <c r="B19" s="26" t="str">
        <f aca="false">IF(A19="","",SUMIFS(Lançamentos!$F$2:$F$121,Lançamentos!$D$2:$D$121,"Entrada",Lançamentos!$A$2:$A$121,"&gt;="&amp;A19,Lançamentos!$A$2:$A$121,"&lt;"&amp;A19+7))</f>
        <v/>
      </c>
      <c r="C19" s="26" t="str">
        <f aca="false">IF(A19="","",SUMIFS(Lançamentos!$F$2:$F$121,Lançamentos!$D$2:$D$121,"Saída",Lançamentos!$A$2:$A$121,"&gt;="&amp;A19,Lançamentos!$A$2:$A$121,"&lt;"&amp;A19+7))</f>
        <v/>
      </c>
      <c r="D19" s="26" t="str">
        <f aca="false">IF(A19="","",B19-C19)</f>
        <v/>
      </c>
      <c r="E19" s="26" t="str">
        <f aca="false">IF(A19="","",E18+D19)</f>
        <v/>
      </c>
    </row>
    <row r="20" customFormat="false" ht="34" hidden="false" customHeight="true" outlineLevel="0" collapsed="false">
      <c r="A20" s="25" t="str">
        <f aca="false">IF(ROW()-1&lt;=Configuração!$B$3,Configuração!$B$2+(ROW()-2)*7,"")</f>
        <v/>
      </c>
      <c r="B20" s="26" t="str">
        <f aca="false">IF(A20="","",SUMIFS(Lançamentos!$F$2:$F$121,Lançamentos!$D$2:$D$121,"Entrada",Lançamentos!$A$2:$A$121,"&gt;="&amp;A20,Lançamentos!$A$2:$A$121,"&lt;"&amp;A20+7))</f>
        <v/>
      </c>
      <c r="C20" s="26" t="str">
        <f aca="false">IF(A20="","",SUMIFS(Lançamentos!$F$2:$F$121,Lançamentos!$D$2:$D$121,"Saída",Lançamentos!$A$2:$A$121,"&gt;="&amp;A20,Lançamentos!$A$2:$A$121,"&lt;"&amp;A20+7))</f>
        <v/>
      </c>
      <c r="D20" s="26" t="str">
        <f aca="false">IF(A20="","",B20-C20)</f>
        <v/>
      </c>
      <c r="E20" s="26" t="str">
        <f aca="false">IF(A20="","",E19+D20)</f>
        <v/>
      </c>
    </row>
    <row r="21" customFormat="false" ht="34" hidden="false" customHeight="true" outlineLevel="0" collapsed="false">
      <c r="A21" s="25" t="str">
        <f aca="false">IF(ROW()-1&lt;=Configuração!$B$3,Configuração!$B$2+(ROW()-2)*7,"")</f>
        <v/>
      </c>
      <c r="B21" s="26" t="str">
        <f aca="false">IF(A21="","",SUMIFS(Lançamentos!$F$2:$F$121,Lançamentos!$D$2:$D$121,"Entrada",Lançamentos!$A$2:$A$121,"&gt;="&amp;A21,Lançamentos!$A$2:$A$121,"&lt;"&amp;A21+7))</f>
        <v/>
      </c>
      <c r="C21" s="26" t="str">
        <f aca="false">IF(A21="","",SUMIFS(Lançamentos!$F$2:$F$121,Lançamentos!$D$2:$D$121,"Saída",Lançamentos!$A$2:$A$121,"&gt;="&amp;A21,Lançamentos!$A$2:$A$121,"&lt;"&amp;A21+7))</f>
        <v/>
      </c>
      <c r="D21" s="26" t="str">
        <f aca="false">IF(A21="","",B21-C21)</f>
        <v/>
      </c>
      <c r="E21" s="26" t="str">
        <f aca="false">IF(A21="","",E20+D21)</f>
        <v/>
      </c>
    </row>
    <row r="22" customFormat="false" ht="34" hidden="false" customHeight="true" outlineLevel="0" collapsed="false">
      <c r="A22" s="25" t="str">
        <f aca="false">IF(ROW()-1&lt;=Configuração!$B$3,Configuração!$B$2+(ROW()-2)*7,"")</f>
        <v/>
      </c>
      <c r="B22" s="26" t="str">
        <f aca="false">IF(A22="","",SUMIFS(Lançamentos!$F$2:$F$121,Lançamentos!$D$2:$D$121,"Entrada",Lançamentos!$A$2:$A$121,"&gt;="&amp;A22,Lançamentos!$A$2:$A$121,"&lt;"&amp;A22+7))</f>
        <v/>
      </c>
      <c r="C22" s="26" t="str">
        <f aca="false">IF(A22="","",SUMIFS(Lançamentos!$F$2:$F$121,Lançamentos!$D$2:$D$121,"Saída",Lançamentos!$A$2:$A$121,"&gt;="&amp;A22,Lançamentos!$A$2:$A$121,"&lt;"&amp;A22+7))</f>
        <v/>
      </c>
      <c r="D22" s="26" t="str">
        <f aca="false">IF(A22="","",B22-C22)</f>
        <v/>
      </c>
      <c r="E22" s="26" t="str">
        <f aca="false">IF(A22="","",E21+D22)</f>
        <v/>
      </c>
    </row>
    <row r="23" customFormat="false" ht="34" hidden="false" customHeight="true" outlineLevel="0" collapsed="false">
      <c r="A23" s="25" t="str">
        <f aca="false">IF(ROW()-1&lt;=Configuração!$B$3,Configuração!$B$2+(ROW()-2)*7,"")</f>
        <v/>
      </c>
      <c r="B23" s="26" t="str">
        <f aca="false">IF(A23="","",SUMIFS(Lançamentos!$F$2:$F$121,Lançamentos!$D$2:$D$121,"Entrada",Lançamentos!$A$2:$A$121,"&gt;="&amp;A23,Lançamentos!$A$2:$A$121,"&lt;"&amp;A23+7))</f>
        <v/>
      </c>
      <c r="C23" s="26" t="str">
        <f aca="false">IF(A23="","",SUMIFS(Lançamentos!$F$2:$F$121,Lançamentos!$D$2:$D$121,"Saída",Lançamentos!$A$2:$A$121,"&gt;="&amp;A23,Lançamentos!$A$2:$A$121,"&lt;"&amp;A23+7))</f>
        <v/>
      </c>
      <c r="D23" s="26" t="str">
        <f aca="false">IF(A23="","",B23-C23)</f>
        <v/>
      </c>
      <c r="E23" s="26" t="str">
        <f aca="false">IF(A23="","",E22+D23)</f>
        <v/>
      </c>
    </row>
    <row r="24" customFormat="false" ht="34" hidden="false" customHeight="true" outlineLevel="0" collapsed="false">
      <c r="A24" s="25" t="str">
        <f aca="false">IF(ROW()-1&lt;=Configuração!$B$3,Configuração!$B$2+(ROW()-2)*7,"")</f>
        <v/>
      </c>
      <c r="B24" s="26" t="str">
        <f aca="false">IF(A24="","",SUMIFS(Lançamentos!$F$2:$F$121,Lançamentos!$D$2:$D$121,"Entrada",Lançamentos!$A$2:$A$121,"&gt;="&amp;A24,Lançamentos!$A$2:$A$121,"&lt;"&amp;A24+7))</f>
        <v/>
      </c>
      <c r="C24" s="26" t="str">
        <f aca="false">IF(A24="","",SUMIFS(Lançamentos!$F$2:$F$121,Lançamentos!$D$2:$D$121,"Saída",Lançamentos!$A$2:$A$121,"&gt;="&amp;A24,Lançamentos!$A$2:$A$121,"&lt;"&amp;A24+7))</f>
        <v/>
      </c>
      <c r="D24" s="26" t="str">
        <f aca="false">IF(A24="","",B24-C24)</f>
        <v/>
      </c>
      <c r="E24" s="26" t="str">
        <f aca="false">IF(A24="","",E23+D24)</f>
        <v/>
      </c>
    </row>
    <row r="25" customFormat="false" ht="34" hidden="false" customHeight="true" outlineLevel="0" collapsed="false">
      <c r="A25" s="25" t="str">
        <f aca="false">IF(ROW()-1&lt;=Configuração!$B$3,Configuração!$B$2+(ROW()-2)*7,"")</f>
        <v/>
      </c>
      <c r="B25" s="26" t="str">
        <f aca="false">IF(A25="","",SUMIFS(Lançamentos!$F$2:$F$121,Lançamentos!$D$2:$D$121,"Entrada",Lançamentos!$A$2:$A$121,"&gt;="&amp;A25,Lançamentos!$A$2:$A$121,"&lt;"&amp;A25+7))</f>
        <v/>
      </c>
      <c r="C25" s="26" t="str">
        <f aca="false">IF(A25="","",SUMIFS(Lançamentos!$F$2:$F$121,Lançamentos!$D$2:$D$121,"Saída",Lançamentos!$A$2:$A$121,"&gt;="&amp;A25,Lançamentos!$A$2:$A$121,"&lt;"&amp;A25+7))</f>
        <v/>
      </c>
      <c r="D25" s="26" t="str">
        <f aca="false">IF(A25="","",B25-C25)</f>
        <v/>
      </c>
      <c r="E25" s="26" t="str">
        <f aca="false">IF(A25="","",E24+D25)</f>
        <v/>
      </c>
    </row>
    <row r="26" customFormat="false" ht="34" hidden="false" customHeight="true" outlineLevel="0" collapsed="false">
      <c r="A26" s="25" t="str">
        <f aca="false">IF(ROW()-1&lt;=Configuração!$B$3,Configuração!$B$2+(ROW()-2)*7,"")</f>
        <v/>
      </c>
      <c r="B26" s="26" t="str">
        <f aca="false">IF(A26="","",SUMIFS(Lançamentos!$F$2:$F$121,Lançamentos!$D$2:$D$121,"Entrada",Lançamentos!$A$2:$A$121,"&gt;="&amp;A26,Lançamentos!$A$2:$A$121,"&lt;"&amp;A26+7))</f>
        <v/>
      </c>
      <c r="C26" s="26" t="str">
        <f aca="false">IF(A26="","",SUMIFS(Lançamentos!$F$2:$F$121,Lançamentos!$D$2:$D$121,"Saída",Lançamentos!$A$2:$A$121,"&gt;="&amp;A26,Lançamentos!$A$2:$A$121,"&lt;"&amp;A26+7))</f>
        <v/>
      </c>
      <c r="D26" s="26" t="str">
        <f aca="false">IF(A26="","",B26-C26)</f>
        <v/>
      </c>
      <c r="E26" s="26" t="str">
        <f aca="false">IF(A26="","",E25+D26)</f>
        <v/>
      </c>
    </row>
    <row r="27" customFormat="false" ht="34" hidden="false" customHeight="true" outlineLevel="0" collapsed="false">
      <c r="A27" s="25" t="str">
        <f aca="false">IF(ROW()-1&lt;=Configuração!$B$3,Configuração!$B$2+(ROW()-2)*7,"")</f>
        <v/>
      </c>
      <c r="B27" s="26" t="str">
        <f aca="false">IF(A27="","",SUMIFS(Lançamentos!$F$2:$F$121,Lançamentos!$D$2:$D$121,"Entrada",Lançamentos!$A$2:$A$121,"&gt;="&amp;A27,Lançamentos!$A$2:$A$121,"&lt;"&amp;A27+7))</f>
        <v/>
      </c>
      <c r="C27" s="26" t="str">
        <f aca="false">IF(A27="","",SUMIFS(Lançamentos!$F$2:$F$121,Lançamentos!$D$2:$D$121,"Saída",Lançamentos!$A$2:$A$121,"&gt;="&amp;A27,Lançamentos!$A$2:$A$121,"&lt;"&amp;A27+7))</f>
        <v/>
      </c>
      <c r="D27" s="26" t="str">
        <f aca="false">IF(A27="","",B27-C27)</f>
        <v/>
      </c>
      <c r="E27" s="26" t="str">
        <f aca="false">IF(A27="","",E26+D27)</f>
        <v/>
      </c>
    </row>
    <row r="28" customFormat="false" ht="34" hidden="false" customHeight="true" outlineLevel="0" collapsed="false">
      <c r="A28" s="25" t="str">
        <f aca="false">IF(ROW()-1&lt;=Configuração!$B$3,Configuração!$B$2+(ROW()-2)*7,"")</f>
        <v/>
      </c>
      <c r="B28" s="26" t="str">
        <f aca="false">IF(A28="","",SUMIFS(Lançamentos!$F$2:$F$121,Lançamentos!$D$2:$D$121,"Entrada",Lançamentos!$A$2:$A$121,"&gt;="&amp;A28,Lançamentos!$A$2:$A$121,"&lt;"&amp;A28+7))</f>
        <v/>
      </c>
      <c r="C28" s="26" t="str">
        <f aca="false">IF(A28="","",SUMIFS(Lançamentos!$F$2:$F$121,Lançamentos!$D$2:$D$121,"Saída",Lançamentos!$A$2:$A$121,"&gt;="&amp;A28,Lançamentos!$A$2:$A$121,"&lt;"&amp;A28+7))</f>
        <v/>
      </c>
      <c r="D28" s="26" t="str">
        <f aca="false">IF(A28="","",B28-C28)</f>
        <v/>
      </c>
      <c r="E28" s="26" t="str">
        <f aca="false">IF(A28="","",E27+D28)</f>
        <v/>
      </c>
    </row>
    <row r="29" customFormat="false" ht="34" hidden="false" customHeight="true" outlineLevel="0" collapsed="false">
      <c r="A29" s="25" t="str">
        <f aca="false">IF(ROW()-1&lt;=Configuração!$B$3,Configuração!$B$2+(ROW()-2)*7,"")</f>
        <v/>
      </c>
      <c r="B29" s="26" t="str">
        <f aca="false">IF(A29="","",SUMIFS(Lançamentos!$F$2:$F$121,Lançamentos!$D$2:$D$121,"Entrada",Lançamentos!$A$2:$A$121,"&gt;="&amp;A29,Lançamentos!$A$2:$A$121,"&lt;"&amp;A29+7))</f>
        <v/>
      </c>
      <c r="C29" s="26" t="str">
        <f aca="false">IF(A29="","",SUMIFS(Lançamentos!$F$2:$F$121,Lançamentos!$D$2:$D$121,"Saída",Lançamentos!$A$2:$A$121,"&gt;="&amp;A29,Lançamentos!$A$2:$A$121,"&lt;"&amp;A29+7))</f>
        <v/>
      </c>
      <c r="D29" s="26" t="str">
        <f aca="false">IF(A29="","",B29-C29)</f>
        <v/>
      </c>
      <c r="E29" s="26" t="str">
        <f aca="false">IF(A29="","",E28+D29)</f>
        <v/>
      </c>
    </row>
    <row r="30" customFormat="false" ht="34" hidden="false" customHeight="true" outlineLevel="0" collapsed="false">
      <c r="A30" s="25" t="str">
        <f aca="false">IF(ROW()-1&lt;=Configuração!$B$3,Configuração!$B$2+(ROW()-2)*7,"")</f>
        <v/>
      </c>
      <c r="B30" s="26" t="str">
        <f aca="false">IF(A30="","",SUMIFS(Lançamentos!$F$2:$F$121,Lançamentos!$D$2:$D$121,"Entrada",Lançamentos!$A$2:$A$121,"&gt;="&amp;A30,Lançamentos!$A$2:$A$121,"&lt;"&amp;A30+7))</f>
        <v/>
      </c>
      <c r="C30" s="26" t="str">
        <f aca="false">IF(A30="","",SUMIFS(Lançamentos!$F$2:$F$121,Lançamentos!$D$2:$D$121,"Saída",Lançamentos!$A$2:$A$121,"&gt;="&amp;A30,Lançamentos!$A$2:$A$121,"&lt;"&amp;A30+7))</f>
        <v/>
      </c>
      <c r="D30" s="26" t="str">
        <f aca="false">IF(A30="","",B30-C30)</f>
        <v/>
      </c>
      <c r="E30" s="26" t="str">
        <f aca="false">IF(A30="","",E29+D30)</f>
        <v/>
      </c>
    </row>
    <row r="31" customFormat="false" ht="34" hidden="false" customHeight="true" outlineLevel="0" collapsed="false">
      <c r="A31" s="25" t="str">
        <f aca="false">IF(ROW()-1&lt;=Configuração!$B$3,Configuração!$B$2+(ROW()-2)*7,"")</f>
        <v/>
      </c>
      <c r="B31" s="26" t="str">
        <f aca="false">IF(A31="","",SUMIFS(Lançamentos!$F$2:$F$121,Lançamentos!$D$2:$D$121,"Entrada",Lançamentos!$A$2:$A$121,"&gt;="&amp;A31,Lançamentos!$A$2:$A$121,"&lt;"&amp;A31+7))</f>
        <v/>
      </c>
      <c r="C31" s="26" t="str">
        <f aca="false">IF(A31="","",SUMIFS(Lançamentos!$F$2:$F$121,Lançamentos!$D$2:$D$121,"Saída",Lançamentos!$A$2:$A$121,"&gt;="&amp;A31,Lançamentos!$A$2:$A$121,"&lt;"&amp;A31+7))</f>
        <v/>
      </c>
      <c r="D31" s="26" t="str">
        <f aca="false">IF(A31="","",B31-C31)</f>
        <v/>
      </c>
      <c r="E31" s="26" t="str">
        <f aca="false">IF(A31="","",E30+D31)</f>
        <v/>
      </c>
    </row>
    <row r="32" customFormat="false" ht="34" hidden="false" customHeight="true" outlineLevel="0" collapsed="false">
      <c r="A32" s="25" t="str">
        <f aca="false">IF(ROW()-1&lt;=Configuração!$B$3,Configuração!$B$2+(ROW()-2)*7,"")</f>
        <v/>
      </c>
      <c r="B32" s="26" t="str">
        <f aca="false">IF(A32="","",SUMIFS(Lançamentos!$F$2:$F$121,Lançamentos!$D$2:$D$121,"Entrada",Lançamentos!$A$2:$A$121,"&gt;="&amp;A32,Lançamentos!$A$2:$A$121,"&lt;"&amp;A32+7))</f>
        <v/>
      </c>
      <c r="C32" s="26" t="str">
        <f aca="false">IF(A32="","",SUMIFS(Lançamentos!$F$2:$F$121,Lançamentos!$D$2:$D$121,"Saída",Lançamentos!$A$2:$A$121,"&gt;="&amp;A32,Lançamentos!$A$2:$A$121,"&lt;"&amp;A32+7))</f>
        <v/>
      </c>
      <c r="D32" s="26" t="str">
        <f aca="false">IF(A32="","",B32-C32)</f>
        <v/>
      </c>
      <c r="E32" s="26" t="str">
        <f aca="false">IF(A32="","",E31+D32)</f>
        <v/>
      </c>
    </row>
    <row r="33" customFormat="false" ht="34" hidden="false" customHeight="true" outlineLevel="0" collapsed="false">
      <c r="A33" s="25" t="str">
        <f aca="false">IF(ROW()-1&lt;=Configuração!$B$3,Configuração!$B$2+(ROW()-2)*7,"")</f>
        <v/>
      </c>
      <c r="B33" s="26" t="str">
        <f aca="false">IF(A33="","",SUMIFS(Lançamentos!$F$2:$F$121,Lançamentos!$D$2:$D$121,"Entrada",Lançamentos!$A$2:$A$121,"&gt;="&amp;A33,Lançamentos!$A$2:$A$121,"&lt;"&amp;A33+7))</f>
        <v/>
      </c>
      <c r="C33" s="26" t="str">
        <f aca="false">IF(A33="","",SUMIFS(Lançamentos!$F$2:$F$121,Lançamentos!$D$2:$D$121,"Saída",Lançamentos!$A$2:$A$121,"&gt;="&amp;A33,Lançamentos!$A$2:$A$121,"&lt;"&amp;A33+7))</f>
        <v/>
      </c>
      <c r="D33" s="26" t="str">
        <f aca="false">IF(A33="","",B33-C33)</f>
        <v/>
      </c>
      <c r="E33" s="26" t="str">
        <f aca="false">IF(A33="","",E32+D33)</f>
        <v/>
      </c>
    </row>
    <row r="34" customFormat="false" ht="34" hidden="false" customHeight="true" outlineLevel="0" collapsed="false">
      <c r="A34" s="25" t="str">
        <f aca="false">IF(ROW()-1&lt;=Configuração!$B$3,Configuração!$B$2+(ROW()-2)*7,"")</f>
        <v/>
      </c>
      <c r="B34" s="26" t="str">
        <f aca="false">IF(A34="","",SUMIFS(Lançamentos!$F$2:$F$121,Lançamentos!$D$2:$D$121,"Entrada",Lançamentos!$A$2:$A$121,"&gt;="&amp;A34,Lançamentos!$A$2:$A$121,"&lt;"&amp;A34+7))</f>
        <v/>
      </c>
      <c r="C34" s="26" t="str">
        <f aca="false">IF(A34="","",SUMIFS(Lançamentos!$F$2:$F$121,Lançamentos!$D$2:$D$121,"Saída",Lançamentos!$A$2:$A$121,"&gt;="&amp;A34,Lançamentos!$A$2:$A$121,"&lt;"&amp;A34+7))</f>
        <v/>
      </c>
      <c r="D34" s="26" t="str">
        <f aca="false">IF(A34="","",B34-C34)</f>
        <v/>
      </c>
      <c r="E34" s="26" t="str">
        <f aca="false">IF(A34="","",E33+D34)</f>
        <v/>
      </c>
    </row>
    <row r="35" customFormat="false" ht="34" hidden="false" customHeight="true" outlineLevel="0" collapsed="false">
      <c r="A35" s="25" t="str">
        <f aca="false">IF(ROW()-1&lt;=Configuração!$B$3,Configuração!$B$2+(ROW()-2)*7,"")</f>
        <v/>
      </c>
      <c r="B35" s="26" t="str">
        <f aca="false">IF(A35="","",SUMIFS(Lançamentos!$F$2:$F$121,Lançamentos!$D$2:$D$121,"Entrada",Lançamentos!$A$2:$A$121,"&gt;="&amp;A35,Lançamentos!$A$2:$A$121,"&lt;"&amp;A35+7))</f>
        <v/>
      </c>
      <c r="C35" s="26" t="str">
        <f aca="false">IF(A35="","",SUMIFS(Lançamentos!$F$2:$F$121,Lançamentos!$D$2:$D$121,"Saída",Lançamentos!$A$2:$A$121,"&gt;="&amp;A35,Lançamentos!$A$2:$A$121,"&lt;"&amp;A35+7))</f>
        <v/>
      </c>
      <c r="D35" s="26" t="str">
        <f aca="false">IF(A35="","",B35-C35)</f>
        <v/>
      </c>
      <c r="E35" s="26" t="str">
        <f aca="false">IF(A35="","",E34+D35)</f>
        <v/>
      </c>
    </row>
    <row r="36" customFormat="false" ht="34" hidden="false" customHeight="true" outlineLevel="0" collapsed="false">
      <c r="A36" s="25" t="str">
        <f aca="false">IF(ROW()-1&lt;=Configuração!$B$3,Configuração!$B$2+(ROW()-2)*7,"")</f>
        <v/>
      </c>
      <c r="B36" s="26" t="str">
        <f aca="false">IF(A36="","",SUMIFS(Lançamentos!$F$2:$F$121,Lançamentos!$D$2:$D$121,"Entrada",Lançamentos!$A$2:$A$121,"&gt;="&amp;A36,Lançamentos!$A$2:$A$121,"&lt;"&amp;A36+7))</f>
        <v/>
      </c>
      <c r="C36" s="26" t="str">
        <f aca="false">IF(A36="","",SUMIFS(Lançamentos!$F$2:$F$121,Lançamentos!$D$2:$D$121,"Saída",Lançamentos!$A$2:$A$121,"&gt;="&amp;A36,Lançamentos!$A$2:$A$121,"&lt;"&amp;A36+7))</f>
        <v/>
      </c>
      <c r="D36" s="26" t="str">
        <f aca="false">IF(A36="","",B36-C36)</f>
        <v/>
      </c>
      <c r="E36" s="26" t="str">
        <f aca="false">IF(A36="","",E35+D36)</f>
        <v/>
      </c>
    </row>
    <row r="37" customFormat="false" ht="34" hidden="false" customHeight="true" outlineLevel="0" collapsed="false">
      <c r="A37" s="25" t="str">
        <f aca="false">IF(ROW()-1&lt;=Configuração!$B$3,Configuração!$B$2+(ROW()-2)*7,"")</f>
        <v/>
      </c>
      <c r="B37" s="26" t="str">
        <f aca="false">IF(A37="","",SUMIFS(Lançamentos!$F$2:$F$121,Lançamentos!$D$2:$D$121,"Entrada",Lançamentos!$A$2:$A$121,"&gt;="&amp;A37,Lançamentos!$A$2:$A$121,"&lt;"&amp;A37+7))</f>
        <v/>
      </c>
      <c r="C37" s="26" t="str">
        <f aca="false">IF(A37="","",SUMIFS(Lançamentos!$F$2:$F$121,Lançamentos!$D$2:$D$121,"Saída",Lançamentos!$A$2:$A$121,"&gt;="&amp;A37,Lançamentos!$A$2:$A$121,"&lt;"&amp;A37+7))</f>
        <v/>
      </c>
      <c r="D37" s="26" t="str">
        <f aca="false">IF(A37="","",B37-C37)</f>
        <v/>
      </c>
      <c r="E37" s="26" t="str">
        <f aca="false">IF(A37="","",E36+D37)</f>
        <v/>
      </c>
    </row>
    <row r="38" customFormat="false" ht="34" hidden="false" customHeight="true" outlineLevel="0" collapsed="false">
      <c r="A38" s="25" t="str">
        <f aca="false">IF(ROW()-1&lt;=Configuração!$B$3,Configuração!$B$2+(ROW()-2)*7,"")</f>
        <v/>
      </c>
      <c r="B38" s="26" t="str">
        <f aca="false">IF(A38="","",SUMIFS(Lançamentos!$F$2:$F$121,Lançamentos!$D$2:$D$121,"Entrada",Lançamentos!$A$2:$A$121,"&gt;="&amp;A38,Lançamentos!$A$2:$A$121,"&lt;"&amp;A38+7))</f>
        <v/>
      </c>
      <c r="C38" s="26" t="str">
        <f aca="false">IF(A38="","",SUMIFS(Lançamentos!$F$2:$F$121,Lançamentos!$D$2:$D$121,"Saída",Lançamentos!$A$2:$A$121,"&gt;="&amp;A38,Lançamentos!$A$2:$A$121,"&lt;"&amp;A38+7))</f>
        <v/>
      </c>
      <c r="D38" s="26" t="str">
        <f aca="false">IF(A38="","",B38-C38)</f>
        <v/>
      </c>
      <c r="E38" s="26" t="str">
        <f aca="false">IF(A38="","",E37+D38)</f>
        <v/>
      </c>
    </row>
    <row r="39" customFormat="false" ht="34" hidden="false" customHeight="true" outlineLevel="0" collapsed="false">
      <c r="A39" s="25" t="str">
        <f aca="false">IF(ROW()-1&lt;=Configuração!$B$3,Configuração!$B$2+(ROW()-2)*7,"")</f>
        <v/>
      </c>
      <c r="B39" s="26" t="str">
        <f aca="false">IF(A39="","",SUMIFS(Lançamentos!$F$2:$F$121,Lançamentos!$D$2:$D$121,"Entrada",Lançamentos!$A$2:$A$121,"&gt;="&amp;A39,Lançamentos!$A$2:$A$121,"&lt;"&amp;A39+7))</f>
        <v/>
      </c>
      <c r="C39" s="26" t="str">
        <f aca="false">IF(A39="","",SUMIFS(Lançamentos!$F$2:$F$121,Lançamentos!$D$2:$D$121,"Saída",Lançamentos!$A$2:$A$121,"&gt;="&amp;A39,Lançamentos!$A$2:$A$121,"&lt;"&amp;A39+7))</f>
        <v/>
      </c>
      <c r="D39" s="26" t="str">
        <f aca="false">IF(A39="","",B39-C39)</f>
        <v/>
      </c>
      <c r="E39" s="26" t="str">
        <f aca="false">IF(A39="","",E38+D39)</f>
        <v/>
      </c>
    </row>
    <row r="40" customFormat="false" ht="34" hidden="false" customHeight="true" outlineLevel="0" collapsed="false">
      <c r="A40" s="25" t="str">
        <f aca="false">IF(ROW()-1&lt;=Configuração!$B$3,Configuração!$B$2+(ROW()-2)*7,"")</f>
        <v/>
      </c>
      <c r="B40" s="26" t="str">
        <f aca="false">IF(A40="","",SUMIFS(Lançamentos!$F$2:$F$121,Lançamentos!$D$2:$D$121,"Entrada",Lançamentos!$A$2:$A$121,"&gt;="&amp;A40,Lançamentos!$A$2:$A$121,"&lt;"&amp;A40+7))</f>
        <v/>
      </c>
      <c r="C40" s="26" t="str">
        <f aca="false">IF(A40="","",SUMIFS(Lançamentos!$F$2:$F$121,Lançamentos!$D$2:$D$121,"Saída",Lançamentos!$A$2:$A$121,"&gt;="&amp;A40,Lançamentos!$A$2:$A$121,"&lt;"&amp;A40+7))</f>
        <v/>
      </c>
      <c r="D40" s="26" t="str">
        <f aca="false">IF(A40="","",B40-C40)</f>
        <v/>
      </c>
      <c r="E40" s="26" t="str">
        <f aca="false">IF(A40="","",E39+D40)</f>
        <v/>
      </c>
    </row>
    <row r="41" customFormat="false" ht="34" hidden="false" customHeight="true" outlineLevel="0" collapsed="false">
      <c r="A41" s="25" t="str">
        <f aca="false">IF(ROW()-1&lt;=Configuração!$B$3,Configuração!$B$2+(ROW()-2)*7,"")</f>
        <v/>
      </c>
      <c r="B41" s="26" t="str">
        <f aca="false">IF(A41="","",SUMIFS(Lançamentos!$F$2:$F$121,Lançamentos!$D$2:$D$121,"Entrada",Lançamentos!$A$2:$A$121,"&gt;="&amp;A41,Lançamentos!$A$2:$A$121,"&lt;"&amp;A41+7))</f>
        <v/>
      </c>
      <c r="C41" s="26" t="str">
        <f aca="false">IF(A41="","",SUMIFS(Lançamentos!$F$2:$F$121,Lançamentos!$D$2:$D$121,"Saída",Lançamentos!$A$2:$A$121,"&gt;="&amp;A41,Lançamentos!$A$2:$A$121,"&lt;"&amp;A41+7))</f>
        <v/>
      </c>
      <c r="D41" s="26" t="str">
        <f aca="false">IF(A41="","",B41-C41)</f>
        <v/>
      </c>
      <c r="E41" s="26" t="str">
        <f aca="false">IF(A41="","",E40+D41)</f>
        <v/>
      </c>
    </row>
    <row r="42" customFormat="false" ht="34" hidden="false" customHeight="true" outlineLevel="0" collapsed="false">
      <c r="A42" s="25" t="str">
        <f aca="false">IF(ROW()-1&lt;=Configuração!$B$3,Configuração!$B$2+(ROW()-2)*7,"")</f>
        <v/>
      </c>
      <c r="B42" s="26" t="str">
        <f aca="false">IF(A42="","",SUMIFS(Lançamentos!$F$2:$F$121,Lançamentos!$D$2:$D$121,"Entrada",Lançamentos!$A$2:$A$121,"&gt;="&amp;A42,Lançamentos!$A$2:$A$121,"&lt;"&amp;A42+7))</f>
        <v/>
      </c>
      <c r="C42" s="26" t="str">
        <f aca="false">IF(A42="","",SUMIFS(Lançamentos!$F$2:$F$121,Lançamentos!$D$2:$D$121,"Saída",Lançamentos!$A$2:$A$121,"&gt;="&amp;A42,Lançamentos!$A$2:$A$121,"&lt;"&amp;A42+7))</f>
        <v/>
      </c>
      <c r="D42" s="26" t="str">
        <f aca="false">IF(A42="","",B42-C42)</f>
        <v/>
      </c>
      <c r="E42" s="26" t="str">
        <f aca="false">IF(A42="","",E41+D42)</f>
        <v/>
      </c>
    </row>
    <row r="43" customFormat="false" ht="34" hidden="false" customHeight="true" outlineLevel="0" collapsed="false">
      <c r="A43" s="25" t="str">
        <f aca="false">IF(ROW()-1&lt;=Configuração!$B$3,Configuração!$B$2+(ROW()-2)*7,"")</f>
        <v/>
      </c>
      <c r="B43" s="26" t="str">
        <f aca="false">IF(A43="","",SUMIFS(Lançamentos!$F$2:$F$121,Lançamentos!$D$2:$D$121,"Entrada",Lançamentos!$A$2:$A$121,"&gt;="&amp;A43,Lançamentos!$A$2:$A$121,"&lt;"&amp;A43+7))</f>
        <v/>
      </c>
      <c r="C43" s="26" t="str">
        <f aca="false">IF(A43="","",SUMIFS(Lançamentos!$F$2:$F$121,Lançamentos!$D$2:$D$121,"Saída",Lançamentos!$A$2:$A$121,"&gt;="&amp;A43,Lançamentos!$A$2:$A$121,"&lt;"&amp;A43+7))</f>
        <v/>
      </c>
      <c r="D43" s="26" t="str">
        <f aca="false">IF(A43="","",B43-C43)</f>
        <v/>
      </c>
      <c r="E43" s="26" t="str">
        <f aca="false">IF(A43="","",E42+D43)</f>
        <v/>
      </c>
    </row>
    <row r="44" customFormat="false" ht="34" hidden="false" customHeight="true" outlineLevel="0" collapsed="false">
      <c r="A44" s="25" t="str">
        <f aca="false">IF(ROW()-1&lt;=Configuração!$B$3,Configuração!$B$2+(ROW()-2)*7,"")</f>
        <v/>
      </c>
      <c r="B44" s="26" t="str">
        <f aca="false">IF(A44="","",SUMIFS(Lançamentos!$F$2:$F$121,Lançamentos!$D$2:$D$121,"Entrada",Lançamentos!$A$2:$A$121,"&gt;="&amp;A44,Lançamentos!$A$2:$A$121,"&lt;"&amp;A44+7))</f>
        <v/>
      </c>
      <c r="C44" s="26" t="str">
        <f aca="false">IF(A44="","",SUMIFS(Lançamentos!$F$2:$F$121,Lançamentos!$D$2:$D$121,"Saída",Lançamentos!$A$2:$A$121,"&gt;="&amp;A44,Lançamentos!$A$2:$A$121,"&lt;"&amp;A44+7))</f>
        <v/>
      </c>
      <c r="D44" s="26" t="str">
        <f aca="false">IF(A44="","",B44-C44)</f>
        <v/>
      </c>
      <c r="E44" s="26" t="str">
        <f aca="false">IF(A44="","",E43+D44)</f>
        <v/>
      </c>
    </row>
    <row r="45" customFormat="false" ht="34" hidden="false" customHeight="true" outlineLevel="0" collapsed="false">
      <c r="A45" s="25" t="str">
        <f aca="false">IF(ROW()-1&lt;=Configuração!$B$3,Configuração!$B$2+(ROW()-2)*7,"")</f>
        <v/>
      </c>
      <c r="B45" s="26" t="str">
        <f aca="false">IF(A45="","",SUMIFS(Lançamentos!$F$2:$F$121,Lançamentos!$D$2:$D$121,"Entrada",Lançamentos!$A$2:$A$121,"&gt;="&amp;A45,Lançamentos!$A$2:$A$121,"&lt;"&amp;A45+7))</f>
        <v/>
      </c>
      <c r="C45" s="26" t="str">
        <f aca="false">IF(A45="","",SUMIFS(Lançamentos!$F$2:$F$121,Lançamentos!$D$2:$D$121,"Saída",Lançamentos!$A$2:$A$121,"&gt;="&amp;A45,Lançamentos!$A$2:$A$121,"&lt;"&amp;A45+7))</f>
        <v/>
      </c>
      <c r="D45" s="26" t="str">
        <f aca="false">IF(A45="","",B45-C45)</f>
        <v/>
      </c>
      <c r="E45" s="26" t="str">
        <f aca="false">IF(A45="","",E44+D45)</f>
        <v/>
      </c>
    </row>
    <row r="46" customFormat="false" ht="34" hidden="false" customHeight="true" outlineLevel="0" collapsed="false">
      <c r="A46" s="25" t="str">
        <f aca="false">IF(ROW()-1&lt;=Configuração!$B$3,Configuração!$B$2+(ROW()-2)*7,"")</f>
        <v/>
      </c>
      <c r="B46" s="26" t="str">
        <f aca="false">IF(A46="","",SUMIFS(Lançamentos!$F$2:$F$121,Lançamentos!$D$2:$D$121,"Entrada",Lançamentos!$A$2:$A$121,"&gt;="&amp;A46,Lançamentos!$A$2:$A$121,"&lt;"&amp;A46+7))</f>
        <v/>
      </c>
      <c r="C46" s="26" t="str">
        <f aca="false">IF(A46="","",SUMIFS(Lançamentos!$F$2:$F$121,Lançamentos!$D$2:$D$121,"Saída",Lançamentos!$A$2:$A$121,"&gt;="&amp;A46,Lançamentos!$A$2:$A$121,"&lt;"&amp;A46+7))</f>
        <v/>
      </c>
      <c r="D46" s="26" t="str">
        <f aca="false">IF(A46="","",B46-C46)</f>
        <v/>
      </c>
      <c r="E46" s="26" t="str">
        <f aca="false">IF(A46="","",E45+D46)</f>
        <v/>
      </c>
    </row>
    <row r="47" customFormat="false" ht="34" hidden="false" customHeight="true" outlineLevel="0" collapsed="false">
      <c r="A47" s="25" t="str">
        <f aca="false">IF(ROW()-1&lt;=Configuração!$B$3,Configuração!$B$2+(ROW()-2)*7,"")</f>
        <v/>
      </c>
      <c r="B47" s="26" t="str">
        <f aca="false">IF(A47="","",SUMIFS(Lançamentos!$F$2:$F$121,Lançamentos!$D$2:$D$121,"Entrada",Lançamentos!$A$2:$A$121,"&gt;="&amp;A47,Lançamentos!$A$2:$A$121,"&lt;"&amp;A47+7))</f>
        <v/>
      </c>
      <c r="C47" s="26" t="str">
        <f aca="false">IF(A47="","",SUMIFS(Lançamentos!$F$2:$F$121,Lançamentos!$D$2:$D$121,"Saída",Lançamentos!$A$2:$A$121,"&gt;="&amp;A47,Lançamentos!$A$2:$A$121,"&lt;"&amp;A47+7))</f>
        <v/>
      </c>
      <c r="D47" s="26" t="str">
        <f aca="false">IF(A47="","",B47-C47)</f>
        <v/>
      </c>
      <c r="E47" s="26" t="str">
        <f aca="false">IF(A47="","",E46+D47)</f>
        <v/>
      </c>
    </row>
    <row r="48" customFormat="false" ht="34" hidden="false" customHeight="true" outlineLevel="0" collapsed="false">
      <c r="A48" s="25" t="str">
        <f aca="false">IF(ROW()-1&lt;=Configuração!$B$3,Configuração!$B$2+(ROW()-2)*7,"")</f>
        <v/>
      </c>
      <c r="B48" s="26" t="str">
        <f aca="false">IF(A48="","",SUMIFS(Lançamentos!$F$2:$F$121,Lançamentos!$D$2:$D$121,"Entrada",Lançamentos!$A$2:$A$121,"&gt;="&amp;A48,Lançamentos!$A$2:$A$121,"&lt;"&amp;A48+7))</f>
        <v/>
      </c>
      <c r="C48" s="26" t="str">
        <f aca="false">IF(A48="","",SUMIFS(Lançamentos!$F$2:$F$121,Lançamentos!$D$2:$D$121,"Saída",Lançamentos!$A$2:$A$121,"&gt;="&amp;A48,Lançamentos!$A$2:$A$121,"&lt;"&amp;A48+7))</f>
        <v/>
      </c>
      <c r="D48" s="26" t="str">
        <f aca="false">IF(A48="","",B48-C48)</f>
        <v/>
      </c>
      <c r="E48" s="26" t="str">
        <f aca="false">IF(A48="","",E47+D48)</f>
        <v/>
      </c>
    </row>
    <row r="49" customFormat="false" ht="34" hidden="false" customHeight="true" outlineLevel="0" collapsed="false">
      <c r="A49" s="25" t="str">
        <f aca="false">IF(ROW()-1&lt;=Configuração!$B$3,Configuração!$B$2+(ROW()-2)*7,"")</f>
        <v/>
      </c>
      <c r="B49" s="26" t="str">
        <f aca="false">IF(A49="","",SUMIFS(Lançamentos!$F$2:$F$121,Lançamentos!$D$2:$D$121,"Entrada",Lançamentos!$A$2:$A$121,"&gt;="&amp;A49,Lançamentos!$A$2:$A$121,"&lt;"&amp;A49+7))</f>
        <v/>
      </c>
      <c r="C49" s="26" t="str">
        <f aca="false">IF(A49="","",SUMIFS(Lançamentos!$F$2:$F$121,Lançamentos!$D$2:$D$121,"Saída",Lançamentos!$A$2:$A$121,"&gt;="&amp;A49,Lançamentos!$A$2:$A$121,"&lt;"&amp;A49+7))</f>
        <v/>
      </c>
      <c r="D49" s="26" t="str">
        <f aca="false">IF(A49="","",B49-C49)</f>
        <v/>
      </c>
      <c r="E49" s="26" t="str">
        <f aca="false">IF(A49="","",E48+D49)</f>
        <v/>
      </c>
    </row>
    <row r="50" customFormat="false" ht="34" hidden="false" customHeight="true" outlineLevel="0" collapsed="false">
      <c r="A50" s="25" t="str">
        <f aca="false">IF(ROW()-1&lt;=Configuração!$B$3,Configuração!$B$2+(ROW()-2)*7,"")</f>
        <v/>
      </c>
      <c r="B50" s="26" t="str">
        <f aca="false">IF(A50="","",SUMIFS(Lançamentos!$F$2:$F$121,Lançamentos!$D$2:$D$121,"Entrada",Lançamentos!$A$2:$A$121,"&gt;="&amp;A50,Lançamentos!$A$2:$A$121,"&lt;"&amp;A50+7))</f>
        <v/>
      </c>
      <c r="C50" s="26" t="str">
        <f aca="false">IF(A50="","",SUMIFS(Lançamentos!$F$2:$F$121,Lançamentos!$D$2:$D$121,"Saída",Lançamentos!$A$2:$A$121,"&gt;="&amp;A50,Lançamentos!$A$2:$A$121,"&lt;"&amp;A50+7))</f>
        <v/>
      </c>
      <c r="D50" s="26" t="str">
        <f aca="false">IF(A50="","",B50-C50)</f>
        <v/>
      </c>
      <c r="E50" s="26" t="str">
        <f aca="false">IF(A50="","",E49+D50)</f>
        <v/>
      </c>
    </row>
    <row r="51" customFormat="false" ht="34" hidden="false" customHeight="true" outlineLevel="0" collapsed="false">
      <c r="A51" s="25" t="str">
        <f aca="false">IF(ROW()-1&lt;=Configuração!$B$3,Configuração!$B$2+(ROW()-2)*7,"")</f>
        <v/>
      </c>
      <c r="B51" s="26" t="str">
        <f aca="false">IF(A51="","",SUMIFS(Lançamentos!$F$2:$F$121,Lançamentos!$D$2:$D$121,"Entrada",Lançamentos!$A$2:$A$121,"&gt;="&amp;A51,Lançamentos!$A$2:$A$121,"&lt;"&amp;A51+7))</f>
        <v/>
      </c>
      <c r="C51" s="26" t="str">
        <f aca="false">IF(A51="","",SUMIFS(Lançamentos!$F$2:$F$121,Lançamentos!$D$2:$D$121,"Saída",Lançamentos!$A$2:$A$121,"&gt;="&amp;A51,Lançamentos!$A$2:$A$121,"&lt;"&amp;A51+7))</f>
        <v/>
      </c>
      <c r="D51" s="26" t="str">
        <f aca="false">IF(A51="","",B51-C51)</f>
        <v/>
      </c>
      <c r="E51" s="26" t="str">
        <f aca="false">IF(A51="","",E50+D51)</f>
        <v/>
      </c>
    </row>
    <row r="52" customFormat="false" ht="34" hidden="false" customHeight="true" outlineLevel="0" collapsed="false">
      <c r="A52" s="25" t="str">
        <f aca="false">IF(ROW()-1&lt;=Configuração!$B$3,Configuração!$B$2+(ROW()-2)*7,"")</f>
        <v/>
      </c>
      <c r="B52" s="26" t="str">
        <f aca="false">IF(A52="","",SUMIFS(Lançamentos!$F$2:$F$121,Lançamentos!$D$2:$D$121,"Entrada",Lançamentos!$A$2:$A$121,"&gt;="&amp;A52,Lançamentos!$A$2:$A$121,"&lt;"&amp;A52+7))</f>
        <v/>
      </c>
      <c r="C52" s="26" t="str">
        <f aca="false">IF(A52="","",SUMIFS(Lançamentos!$F$2:$F$121,Lançamentos!$D$2:$D$121,"Saída",Lançamentos!$A$2:$A$121,"&gt;="&amp;A52,Lançamentos!$A$2:$A$121,"&lt;"&amp;A52+7))</f>
        <v/>
      </c>
      <c r="D52" s="26" t="str">
        <f aca="false">IF(A52="","",B52-C52)</f>
        <v/>
      </c>
      <c r="E52" s="26" t="str">
        <f aca="false">IF(A52="","",E51+D52)</f>
        <v/>
      </c>
    </row>
    <row r="53" customFormat="false" ht="34" hidden="false" customHeight="true" outlineLevel="0" collapsed="false">
      <c r="A53" s="25" t="str">
        <f aca="false">IF(ROW()-1&lt;=Configuração!$B$3,Configuração!$B$2+(ROW()-2)*7,"")</f>
        <v/>
      </c>
      <c r="B53" s="26" t="str">
        <f aca="false">IF(A53="","",SUMIFS(Lançamentos!$F$2:$F$121,Lançamentos!$D$2:$D$121,"Entrada",Lançamentos!$A$2:$A$121,"&gt;="&amp;A53,Lançamentos!$A$2:$A$121,"&lt;"&amp;A53+7))</f>
        <v/>
      </c>
      <c r="C53" s="26" t="str">
        <f aca="false">IF(A53="","",SUMIFS(Lançamentos!$F$2:$F$121,Lançamentos!$D$2:$D$121,"Saída",Lançamentos!$A$2:$A$121,"&gt;="&amp;A53,Lançamentos!$A$2:$A$121,"&lt;"&amp;A53+7))</f>
        <v/>
      </c>
      <c r="D53" s="26" t="str">
        <f aca="false">IF(A53="","",B53-C53)</f>
        <v/>
      </c>
      <c r="E53" s="26" t="str">
        <f aca="false">IF(A53="","",E52+D53)</f>
        <v/>
      </c>
    </row>
  </sheetData>
  <autoFilter ref="A1:E53"/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Flowo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2026-08-23T12:00:00Z</dcterms:created>
  <dc:creator>Flowo</dc:creator>
  <dc:description>Gerado por scripts/generate-premium-materials.mjs</dc:description>
  <dc:language>en-US</dc:language>
  <cp:lastModifiedBy/>
  <cp:revision>0</cp:revision>
  <dc:subject>Material educativo para gestão de barbearias</dc:subject>
  <dc:title>Fluxo de caixa semanal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