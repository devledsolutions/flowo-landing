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ece aqui" sheetId="1" state="visible" r:id="rId3"/>
    <sheet name="Painel rápido" sheetId="2" state="visible" r:id="rId4"/>
    <sheet name="Meta" sheetId="3" state="visible" r:id="rId5"/>
    <sheet name="Acompanhamento diário" sheetId="4" state="visible" r:id="rId6"/>
  </sheets>
  <definedNames>
    <definedName function="false" hidden="false" localSheetId="3" name="_xlnm.Print_Area" vbProcedure="false">'Acompanhamento diário'!$A$1:$G$33</definedName>
    <definedName function="false" hidden="true" localSheetId="3" name="_xlnm._FilterDatabase" vbProcedure="false">'Acompanhamento diário'!$A$1:$G$33</definedName>
    <definedName function="false" hidden="false" localSheetId="0" name="_xlnm.Print_Area" vbProcedure="false">'Comece aqui'!$A$1:$F$19</definedName>
    <definedName function="false" hidden="false" localSheetId="2" name="_xlnm.Print_Area" vbProcedure="false">Meta!$A$1:$C$7</definedName>
    <definedName function="false" hidden="false" localSheetId="1" name="_xlnm.Print_Area" vbProcedure="false">'Painel rápido'!$A$1:$I$18</definedName>
    <definedName function="false" hidden="false" localSheetId="3" name="_xlnm._FilterDatabase" vbProcedure="false">'Acompanhamento diário'!A1:G33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<sst xmlns="http://schemas.openxmlformats.org/spreadsheetml/2006/main" count="61" uniqueCount="60">
  <si>
    <t xml:space="preserve">FLOWO · MATERIAL PRÁTICO</t>
  </si>
  <si>
    <t xml:space="preserve">Plano de metas de faturamento</t>
  </si>
  <si>
    <t xml:space="preserve">Acompanhe um mês completo e distribua a meta somente pelos dias em que a barbearia atende.</t>
  </si>
  <si>
    <t xml:space="preserve">Veja o resumo na próxima aba. Depois, preencha somente as células rosadas e volte ao resumo para decidir o que fazer.</t>
  </si>
  <si>
    <t xml:space="preserve">01</t>
  </si>
  <si>
    <t xml:space="preserve">02</t>
  </si>
  <si>
    <t xml:space="preserve">03</t>
  </si>
  <si>
    <t xml:space="preserve">Defina a meta, o mês de referência e o número de profissionais.</t>
  </si>
  <si>
    <t xml:space="preserve">Na aba Acompanhamento, marque Sim apenas nos dias de atendimento; dias fechados e folgas não recebem meta.</t>
  </si>
  <si>
    <t xml:space="preserve">Registre o faturamento realizado e revise o ritmo sem confundir faturamento com lucro.</t>
  </si>
  <si>
    <t xml:space="preserve">LEGENDA RÁPIDA</t>
  </si>
  <si>
    <t xml:space="preserve">DIGITE AQUI</t>
  </si>
  <si>
    <t xml:space="preserve">RESULTADO</t>
  </si>
  <si>
    <t xml:space="preserve">ATENÇÃO</t>
  </si>
  <si>
    <t xml:space="preserve">Células rosadas</t>
  </si>
  <si>
    <t xml:space="preserve">Células verdes</t>
  </si>
  <si>
    <t xml:space="preserve">Células amarelas</t>
  </si>
  <si>
    <t xml:space="preserve">ANTES DE COMEÇAR</t>
  </si>
  <si>
    <t xml:space="preserve">• Ao trocar o mês, revise a coluna Dia de atendimento?; domingos vêm marcados como Não apenas como ponto de partida.</t>
  </si>
  <si>
    <t xml:space="preserve">• Metas precisam considerar custos, capacidade, folgas e sazonalidade.</t>
  </si>
  <si>
    <t xml:space="preserve">AVISO IMPORTANTE</t>
  </si>
  <si>
    <t xml:space="preserve">Material educativo. Adapte à realidade da sua barbearia e valide decisões contábeis, fiscais, trabalhistas e jurídicas com profissionais habilitados.</t>
  </si>
  <si>
    <t xml:space="preserve">flowo.com.br/recursos/materiais</t>
  </si>
  <si>
    <t xml:space="preserve">FLOWO · RESUMO SIMPLES</t>
  </si>
  <si>
    <t xml:space="preserve">A meta do mês sem pressão cega</t>
  </si>
  <si>
    <t xml:space="preserve">Compare o realizado com a meta somente nos dias em que a barbearia atende.</t>
  </si>
  <si>
    <t xml:space="preserve">FATURAMENTO REALIZADO</t>
  </si>
  <si>
    <t xml:space="preserve">META DO MÊS</t>
  </si>
  <si>
    <t xml:space="preserve">% DA META</t>
  </si>
  <si>
    <t xml:space="preserve">registrado até agora</t>
  </si>
  <si>
    <t xml:space="preserve">valor definido por você</t>
  </si>
  <si>
    <t xml:space="preserve">ritmo do mês</t>
  </si>
  <si>
    <t xml:space="preserve">PRÓXIMA AÇÃO</t>
  </si>
  <si>
    <t xml:space="preserve">Preencha apenas o faturamento dos dias já fechados e use a diferença para escolher uma ação desta semana.</t>
  </si>
  <si>
    <t xml:space="preserve">COMO LER</t>
  </si>
  <si>
    <t xml:space="preserve">1. Preencha as células rosadas nas outras abas.</t>
  </si>
  <si>
    <t xml:space="preserve">2. Volte aqui para conferir os números principais.</t>
  </si>
  <si>
    <t xml:space="preserve">3. Resolva primeiro o que estiver pendente ou bloqueado.</t>
  </si>
  <si>
    <t xml:space="preserve">Indicador</t>
  </si>
  <si>
    <t xml:space="preserve">Valor</t>
  </si>
  <si>
    <t xml:space="preserve">Observação</t>
  </si>
  <si>
    <t xml:space="preserve">Meta mensal (R$)</t>
  </si>
  <si>
    <t xml:space="preserve">Preencha</t>
  </si>
  <si>
    <t xml:space="preserve">Mês de referência</t>
  </si>
  <si>
    <t xml:space="preserve">Use qualquer data do mês desejado</t>
  </si>
  <si>
    <t xml:space="preserve">Dias de atendimento no mês</t>
  </si>
  <si>
    <t xml:space="preserve">Calculado; dias fechados e folgas ficam fora</t>
  </si>
  <si>
    <t xml:space="preserve">Profissionais ativos</t>
  </si>
  <si>
    <t xml:space="preserve">Meta por dia de atendimento (R$)</t>
  </si>
  <si>
    <t xml:space="preserve">Calculada apenas sobre dias abertos</t>
  </si>
  <si>
    <t xml:space="preserve">Meta diária por profissional (R$)</t>
  </si>
  <si>
    <t xml:space="preserve">Referência; ajuste por escala e capacidade</t>
  </si>
  <si>
    <t xml:space="preserve">Data</t>
  </si>
  <si>
    <t xml:space="preserve">Dia de atendimento?</t>
  </si>
  <si>
    <t xml:space="preserve">Faturamento realizado (R$)</t>
  </si>
  <si>
    <t xml:space="preserve">Meta do dia (R$)</t>
  </si>
  <si>
    <t xml:space="preserve">Diferença</t>
  </si>
  <si>
    <t xml:space="preserve">% da meta</t>
  </si>
  <si>
    <t xml:space="preserve">Observações</t>
  </si>
  <si>
    <t xml:space="preserve">TOTAL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</si>
</sst>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R$ &quot;#,##0.00"/>
    <numFmt numFmtId="166" formatCode="0%"/>
    <numFmt numFmtId="167" formatCode="mm/yyyy"/>
    <numFmt numFmtId="168" formatCode="dd/mm/yyyy"/>
    <numFmt numFmtId="169" formatCode="0.0%"/>
  </numFmts>
  <fonts count="21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4F0E5"/>
      <name val="Arial"/>
      <family val="2"/>
      <charset val="1"/>
    </font>
    <font>
      <b val="true"/>
      <sz val="22"/>
      <color rgb="FF171810"/>
      <name val="Arial"/>
      <family val="2"/>
      <charset val="1"/>
    </font>
    <font>
      <sz val="12"/>
      <color rgb="FF6D6A61"/>
      <name val="Arial"/>
      <family val="2"/>
      <charset val="1"/>
    </font>
    <font>
      <b val="true"/>
      <sz val="11"/>
      <color rgb="FF171810"/>
      <name val="Arial"/>
      <family val="2"/>
      <charset val="1"/>
    </font>
    <font>
      <b val="true"/>
      <sz val="11"/>
      <color rgb="FFF4F0E5"/>
      <name val="Arial"/>
      <family val="2"/>
      <charset val="1"/>
    </font>
    <font>
      <sz val="11"/>
      <color rgb="FF171810"/>
      <name val="Arial"/>
      <family val="2"/>
      <charset val="1"/>
    </font>
    <font>
      <b val="true"/>
      <sz val="11"/>
      <color rgb="FF7A173F"/>
      <name val="Arial"/>
      <family val="2"/>
      <charset val="1"/>
    </font>
    <font>
      <b val="true"/>
      <sz val="11"/>
      <color rgb="FF1F7A50"/>
      <name val="Arial"/>
      <family val="2"/>
      <charset val="1"/>
    </font>
    <font>
      <b val="true"/>
      <sz val="11"/>
      <color rgb="FFA45D13"/>
      <name val="Arial"/>
      <family val="2"/>
      <charset val="1"/>
    </font>
    <font>
      <sz val="10"/>
      <color rgb="FF6D6A61"/>
      <name val="Arial"/>
      <family val="2"/>
      <charset val="1"/>
    </font>
    <font>
      <sz val="10"/>
      <color rgb="FF171810"/>
      <name val="Arial"/>
      <family val="2"/>
      <charset val="1"/>
    </font>
    <font>
      <b val="true"/>
      <sz val="10"/>
      <color rgb="FFC52663"/>
      <name val="Arial"/>
      <family val="2"/>
      <charset val="1"/>
    </font>
    <font>
      <sz val="11"/>
      <color rgb="FF6D6A61"/>
      <name val="Arial"/>
      <family val="2"/>
      <charset val="1"/>
    </font>
    <font>
      <b val="true"/>
      <sz val="22"/>
      <color rgb="FF1F7A50"/>
      <name val="Arial"/>
      <family val="2"/>
      <charset val="1"/>
    </font>
    <font>
      <b val="true"/>
      <sz val="12"/>
      <color rgb="FFA45D13"/>
      <name val="Arial"/>
      <family val="2"/>
      <charset val="1"/>
    </font>
    <font>
      <b val="true"/>
      <sz val="10"/>
      <color rgb="FF171810"/>
      <name val="Arial"/>
      <family val="2"/>
      <charset val="1"/>
    </font>
    <font>
      <sz val="11"/>
      <color rgb="FF7A173F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71810"/>
        <bgColor rgb="FF000000"/>
      </patternFill>
    </fill>
    <fill>
      <patternFill patternType="solid">
        <fgColor rgb="FFF4F0E5"/>
        <bgColor rgb="FFFAEEDB"/>
      </patternFill>
    </fill>
    <fill>
      <patternFill patternType="solid">
        <fgColor rgb="FFFBF9F3"/>
        <bgColor rgb="FFF4F0E5"/>
      </patternFill>
    </fill>
    <fill>
      <patternFill patternType="solid">
        <fgColor rgb="FFF8E9EF"/>
        <bgColor rgb="FFF4F0E5"/>
      </patternFill>
    </fill>
    <fill>
      <patternFill patternType="solid">
        <fgColor rgb="FFE7F3EC"/>
        <bgColor rgb="FFF4F0E5"/>
      </patternFill>
    </fill>
    <fill>
      <patternFill patternType="solid">
        <fgColor rgb="FFFAEEDB"/>
        <bgColor rgb="FFF4F0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3C6"/>
      </left>
      <right style="thin">
        <color rgb="FFD9D3C6"/>
      </right>
      <top style="thin">
        <color rgb="FFD9D3C6"/>
      </top>
      <bottom style="thin">
        <color rgb="FFD9D3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71810"/>
          <bgColor rgb="FF000000"/>
        </patternFill>
      </fill>
    </dxf>
    <dxf>
      <fill>
        <patternFill patternType="solid">
          <fgColor rgb="FFF4F0E5"/>
          <bgColor rgb="FF000000"/>
        </patternFill>
      </fill>
    </dxf>
    <dxf>
      <fill>
        <patternFill patternType="solid">
          <fgColor rgb="FFFBF9F3"/>
          <bgColor rgb="FF000000"/>
        </patternFill>
      </fill>
    </dxf>
    <dxf>
      <fill>
        <patternFill patternType="solid">
          <fgColor rgb="FFF8E9EF"/>
          <bgColor rgb="FF000000"/>
        </patternFill>
      </fill>
    </dxf>
    <dxf>
      <fill>
        <patternFill patternType="solid">
          <fgColor rgb="FF7A173F"/>
          <bgColor rgb="FF000000"/>
        </patternFill>
      </fill>
    </dxf>
  </dxfs>
  <colors>
    <indexedColors>
      <rgbColor rgb="FF000000"/>
      <rgbColor rgb="FFFBF9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50"/>
      <rgbColor rgb="FFD9D3C6"/>
      <rgbColor rgb="FF808080"/>
      <rgbColor rgb="FF9999FF"/>
      <rgbColor rgb="FFC52663"/>
      <rgbColor rgb="FFFAEEDB"/>
      <rgbColor rgb="FFE7F3EC"/>
      <rgbColor rgb="FF7A173F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E9EF"/>
      <rgbColor rgb="FFF4F0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D6A61"/>
      <rgbColor rgb="FF969696"/>
      <rgbColor rgb="FF003366"/>
      <rgbColor rgb="FF339966"/>
      <rgbColor rgb="FF171810"/>
      <rgbColor rgb="FF333300"/>
      <rgbColor rgb="FFA45D1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6" min="1" style="0" width="18.83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40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42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34" hidden="false" customHeight="true" outlineLevel="0" collapsed="false">
      <c r="A4" s="4" t="s">
        <v>3</v>
      </c>
      <c r="B4" s="4"/>
      <c r="C4" s="4"/>
      <c r="D4" s="4"/>
      <c r="E4" s="4"/>
      <c r="F4" s="4"/>
    </row>
    <row r="5" customFormat="false" ht="8" hidden="false" customHeight="true" outlineLevel="0" collapsed="false"/>
    <row r="6" customFormat="false" ht="24" hidden="false" customHeight="true" outlineLevel="0" collapsed="false">
      <c r="A6" s="5" t="s">
        <v>4</v>
      </c>
      <c r="B6" s="5"/>
      <c r="C6" s="5" t="s">
        <v>5</v>
      </c>
      <c r="D6" s="5"/>
      <c r="E6" s="5" t="s">
        <v>6</v>
      </c>
      <c r="F6" s="5"/>
    </row>
    <row r="7" customFormat="false" ht="48" hidden="false" customHeight="true" outlineLevel="0" collapsed="false">
      <c r="A7" s="6" t="s">
        <v>7</v>
      </c>
      <c r="B7" s="6"/>
      <c r="C7" s="6" t="s">
        <v>8</v>
      </c>
      <c r="D7" s="6"/>
      <c r="E7" s="6" t="s">
        <v>9</v>
      </c>
      <c r="F7" s="6"/>
    </row>
    <row r="8" customFormat="false" ht="8" hidden="false" customHeight="true" outlineLevel="0" collapsed="false"/>
    <row r="9" customFormat="false" ht="34" hidden="false" customHeight="true" outlineLevel="0" collapsed="false">
      <c r="A9" s="1" t="s">
        <v>10</v>
      </c>
      <c r="B9" s="1"/>
      <c r="C9" s="1"/>
      <c r="D9" s="1"/>
      <c r="E9" s="1"/>
      <c r="F9" s="1"/>
    </row>
    <row r="10" customFormat="false" ht="24" hidden="false" customHeight="true" outlineLevel="0" collapsed="false">
      <c r="A10" s="7" t="s">
        <v>11</v>
      </c>
      <c r="B10" s="7"/>
      <c r="C10" s="8" t="s">
        <v>12</v>
      </c>
      <c r="D10" s="8"/>
      <c r="E10" s="9" t="s">
        <v>13</v>
      </c>
      <c r="F10" s="9"/>
    </row>
    <row r="11" customFormat="false" ht="48" hidden="false" customHeight="true" outlineLevel="0" collapsed="false">
      <c r="A11" s="7" t="s">
        <v>14</v>
      </c>
      <c r="B11" s="7"/>
      <c r="C11" s="8" t="s">
        <v>15</v>
      </c>
      <c r="D11" s="8"/>
      <c r="E11" s="9" t="s">
        <v>16</v>
      </c>
      <c r="F11" s="9"/>
    </row>
    <row r="12" customFormat="false" ht="8" hidden="false" customHeight="true" outlineLevel="0" collapsed="false"/>
    <row r="13" customFormat="false" ht="34" hidden="false" customHeight="true" outlineLevel="0" collapsed="false">
      <c r="A13" s="1" t="s">
        <v>17</v>
      </c>
      <c r="B13" s="1"/>
      <c r="C13" s="1"/>
      <c r="D13" s="1"/>
      <c r="E13" s="1"/>
      <c r="F13" s="1"/>
    </row>
    <row r="14" customFormat="false" ht="34" hidden="false" customHeight="true" outlineLevel="0" collapsed="false">
      <c r="A14" s="10" t="s">
        <v>18</v>
      </c>
      <c r="B14" s="10"/>
      <c r="C14" s="10"/>
      <c r="D14" s="10"/>
      <c r="E14" s="10"/>
      <c r="F14" s="10"/>
    </row>
    <row r="15" customFormat="false" ht="34" hidden="false" customHeight="true" outlineLevel="0" collapsed="false">
      <c r="A15" s="10" t="s">
        <v>19</v>
      </c>
      <c r="B15" s="10"/>
      <c r="C15" s="10"/>
      <c r="D15" s="10"/>
      <c r="E15" s="10"/>
      <c r="F15" s="10"/>
    </row>
    <row r="16" customFormat="false" ht="8" hidden="false" customHeight="true" outlineLevel="0" collapsed="false">
      <c r="A16" s="11"/>
      <c r="B16" s="11"/>
      <c r="C16" s="11"/>
      <c r="D16" s="11"/>
      <c r="E16" s="11"/>
      <c r="F16" s="11"/>
    </row>
    <row r="17" customFormat="false" ht="34" hidden="false" customHeight="true" outlineLevel="0" collapsed="false">
      <c r="A17" s="1" t="s">
        <v>20</v>
      </c>
      <c r="B17" s="1"/>
      <c r="C17" s="1"/>
      <c r="D17" s="1"/>
      <c r="E17" s="1"/>
      <c r="F17" s="1"/>
    </row>
    <row r="18" customFormat="false" ht="46" hidden="false" customHeight="true" outlineLevel="0" collapsed="false">
      <c r="A18" s="12" t="s">
        <v>21</v>
      </c>
      <c r="B18" s="12"/>
      <c r="C18" s="12"/>
      <c r="D18" s="12"/>
      <c r="E18" s="12"/>
      <c r="F18" s="12"/>
    </row>
    <row r="19" customFormat="false" ht="34" hidden="false" customHeight="true" outlineLevel="0" collapsed="false">
      <c r="A19" s="13" t="s">
        <v>22</v>
      </c>
      <c r="B19" s="13"/>
      <c r="C19" s="13"/>
      <c r="D19" s="13"/>
      <c r="E19" s="13"/>
      <c r="F19" s="13"/>
    </row>
  </sheetData>
  <mergeCells count="24">
    <mergeCell ref="A1:F1"/>
    <mergeCell ref="A2:F2"/>
    <mergeCell ref="A3:F3"/>
    <mergeCell ref="A4:F4"/>
    <mergeCell ref="A6:B6"/>
    <mergeCell ref="C6:D6"/>
    <mergeCell ref="E6:F6"/>
    <mergeCell ref="A7:B7"/>
    <mergeCell ref="C7:D7"/>
    <mergeCell ref="E7:F7"/>
    <mergeCell ref="A9:F9"/>
    <mergeCell ref="A10:B10"/>
    <mergeCell ref="C10:D10"/>
    <mergeCell ref="E10:F10"/>
    <mergeCell ref="A11:B11"/>
    <mergeCell ref="C11:D11"/>
    <mergeCell ref="E11:F11"/>
    <mergeCell ref="A13:F13"/>
    <mergeCell ref="A14:F14"/>
    <mergeCell ref="A15:F15"/>
    <mergeCell ref="A16:F16"/>
    <mergeCell ref="A17:F17"/>
    <mergeCell ref="A18:F18"/>
    <mergeCell ref="A19:F19"/>
  </mergeCells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9" min="1" style="0" width="14.84"/>
  </cols>
  <sheetData>
    <row r="1" customFormat="false" ht="24" hidden="false" customHeight="true" outlineLevel="0" collapsed="false">
      <c r="A1" s="1" t="s">
        <v>23</v>
      </c>
      <c r="B1" s="1"/>
      <c r="C1" s="1"/>
      <c r="D1" s="1"/>
      <c r="E1" s="1"/>
      <c r="F1" s="1"/>
      <c r="G1" s="1"/>
      <c r="H1" s="1"/>
      <c r="I1" s="1"/>
    </row>
    <row r="2" customFormat="false" ht="40" hidden="false" customHeight="true" outlineLevel="0" collapsed="false">
      <c r="A2" s="2" t="s">
        <v>24</v>
      </c>
      <c r="B2" s="2"/>
      <c r="C2" s="2"/>
      <c r="D2" s="2"/>
      <c r="E2" s="2"/>
      <c r="F2" s="2"/>
      <c r="G2" s="2"/>
      <c r="H2" s="2"/>
      <c r="I2" s="2"/>
    </row>
    <row r="3" customFormat="false" ht="34" hidden="false" customHeight="true" outlineLevel="0" collapsed="false">
      <c r="A3" s="14" t="s">
        <v>25</v>
      </c>
      <c r="B3" s="14"/>
      <c r="C3" s="14"/>
      <c r="D3" s="14"/>
      <c r="E3" s="14"/>
      <c r="F3" s="14"/>
      <c r="G3" s="14"/>
      <c r="H3" s="14"/>
      <c r="I3" s="14"/>
    </row>
    <row r="4" customFormat="false" ht="15" hidden="false" customHeight="false" outlineLevel="0" collapsed="false"/>
    <row r="5" customFormat="false" ht="26" hidden="false" customHeight="true" outlineLevel="0" collapsed="false">
      <c r="A5" s="1" t="s">
        <v>26</v>
      </c>
      <c r="B5" s="1"/>
      <c r="C5" s="1"/>
      <c r="D5" s="1" t="s">
        <v>27</v>
      </c>
      <c r="E5" s="1"/>
      <c r="F5" s="1"/>
      <c r="G5" s="1" t="s">
        <v>28</v>
      </c>
      <c r="H5" s="1"/>
      <c r="I5" s="1"/>
    </row>
    <row r="6" customFormat="false" ht="44" hidden="false" customHeight="true" outlineLevel="0" collapsed="false">
      <c r="A6" s="15" t="n">
        <f aca="false">'Acompanhamento diário'!$C$33</f>
        <v>0</v>
      </c>
      <c r="B6" s="15"/>
      <c r="C6" s="15"/>
      <c r="D6" s="15" t="n">
        <f aca="false">Meta!$B$2</f>
        <v>20000</v>
      </c>
      <c r="E6" s="15"/>
      <c r="F6" s="15"/>
      <c r="G6" s="16" t="n">
        <f aca="false">'Acompanhamento diário'!$F$33</f>
        <v>0</v>
      </c>
      <c r="H6" s="16"/>
      <c r="I6" s="16"/>
    </row>
    <row r="7" customFormat="false" ht="34" hidden="false" customHeight="true" outlineLevel="0" collapsed="false">
      <c r="A7" s="17" t="s">
        <v>29</v>
      </c>
      <c r="B7" s="17"/>
      <c r="C7" s="17"/>
      <c r="D7" s="17" t="s">
        <v>30</v>
      </c>
      <c r="E7" s="17"/>
      <c r="F7" s="17"/>
      <c r="G7" s="17" t="s">
        <v>31</v>
      </c>
      <c r="H7" s="17"/>
      <c r="I7" s="17"/>
    </row>
    <row r="8" customFormat="false" ht="15" hidden="false" customHeight="false" outlineLevel="0" collapsed="false"/>
    <row r="9" customFormat="false" ht="15" hidden="false" customHeight="false" outlineLevel="0" collapsed="false"/>
    <row r="10" customFormat="false" ht="26" hidden="false" customHeight="true" outlineLevel="0" collapsed="false">
      <c r="A10" s="1" t="s">
        <v>32</v>
      </c>
      <c r="B10" s="1"/>
      <c r="C10" s="1"/>
      <c r="D10" s="1"/>
      <c r="E10" s="1"/>
      <c r="F10" s="1"/>
      <c r="G10" s="1"/>
      <c r="H10" s="1"/>
      <c r="I10" s="1"/>
    </row>
    <row r="11" customFormat="false" ht="42" hidden="false" customHeight="true" outlineLevel="0" collapsed="false">
      <c r="A11" s="18" t="s">
        <v>33</v>
      </c>
      <c r="B11" s="18"/>
      <c r="C11" s="18"/>
      <c r="D11" s="18"/>
      <c r="E11" s="18"/>
      <c r="F11" s="18"/>
      <c r="G11" s="18"/>
      <c r="H11" s="18"/>
      <c r="I11" s="18"/>
    </row>
    <row r="12" customFormat="false" ht="15" hidden="false" customHeight="false" outlineLevel="0" collapsed="false"/>
    <row r="13" customFormat="false" ht="15" hidden="false" customHeight="false" outlineLevel="0" collapsed="false"/>
    <row r="14" customFormat="false" ht="24" hidden="false" customHeight="true" outlineLevel="0" collapsed="false">
      <c r="A14" s="19" t="s">
        <v>34</v>
      </c>
      <c r="B14" s="19"/>
      <c r="C14" s="19"/>
      <c r="D14" s="19"/>
      <c r="E14" s="19"/>
      <c r="F14" s="19"/>
      <c r="G14" s="19"/>
      <c r="H14" s="19"/>
      <c r="I14" s="19"/>
    </row>
    <row r="15" customFormat="false" ht="24" hidden="false" customHeight="true" outlineLevel="0" collapsed="false">
      <c r="A15" s="10" t="s">
        <v>35</v>
      </c>
      <c r="B15" s="10"/>
      <c r="C15" s="10"/>
      <c r="D15" s="10"/>
      <c r="E15" s="10"/>
      <c r="F15" s="10"/>
      <c r="G15" s="10"/>
      <c r="H15" s="10"/>
      <c r="I15" s="10"/>
    </row>
    <row r="16" customFormat="false" ht="24" hidden="false" customHeight="true" outlineLevel="0" collapsed="false">
      <c r="A16" s="10" t="s">
        <v>36</v>
      </c>
      <c r="B16" s="10"/>
      <c r="C16" s="10"/>
      <c r="D16" s="10"/>
      <c r="E16" s="10"/>
      <c r="F16" s="10"/>
      <c r="G16" s="10"/>
      <c r="H16" s="10"/>
      <c r="I16" s="10"/>
    </row>
    <row r="17" customFormat="false" ht="24" hidden="false" customHeight="true" outlineLevel="0" collapsed="false">
      <c r="A17" s="10" t="s">
        <v>37</v>
      </c>
      <c r="B17" s="10"/>
      <c r="C17" s="10"/>
      <c r="D17" s="10"/>
      <c r="E17" s="10"/>
      <c r="F17" s="10"/>
      <c r="G17" s="10"/>
      <c r="H17" s="10"/>
      <c r="I17" s="10"/>
    </row>
  </sheetData>
  <mergeCells count="18">
    <mergeCell ref="A1:I1"/>
    <mergeCell ref="A2:I2"/>
    <mergeCell ref="A3:I3"/>
    <mergeCell ref="A5:C5"/>
    <mergeCell ref="D5:F5"/>
    <mergeCell ref="G5:I5"/>
    <mergeCell ref="A6:C6"/>
    <mergeCell ref="D6:F6"/>
    <mergeCell ref="G6:I6"/>
    <mergeCell ref="A7:C7"/>
    <mergeCell ref="D7:F7"/>
    <mergeCell ref="G7:I7"/>
    <mergeCell ref="A10:I10"/>
    <mergeCell ref="A11:I11"/>
    <mergeCell ref="A14:I14"/>
    <mergeCell ref="A15:I15"/>
    <mergeCell ref="A16:I16"/>
    <mergeCell ref="A17:I17"/>
  </mergeCells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38.83"/>
    <col collapsed="false" customWidth="true" hidden="false" outlineLevel="0" max="2" min="2" style="0" width="22.84"/>
    <col collapsed="false" customWidth="true" hidden="false" outlineLevel="0" max="3" min="3" style="0" width="34.84"/>
  </cols>
  <sheetData>
    <row r="1" customFormat="false" ht="30" hidden="false" customHeight="true" outlineLevel="0" collapsed="false">
      <c r="A1" s="20" t="s">
        <v>38</v>
      </c>
      <c r="B1" s="20" t="s">
        <v>39</v>
      </c>
      <c r="C1" s="20" t="s">
        <v>40</v>
      </c>
    </row>
    <row r="2" customFormat="false" ht="34" hidden="false" customHeight="true" outlineLevel="0" collapsed="false">
      <c r="A2" s="21" t="s">
        <v>41</v>
      </c>
      <c r="B2" s="22" t="n">
        <v>20000</v>
      </c>
      <c r="C2" s="21" t="s">
        <v>42</v>
      </c>
    </row>
    <row r="3" customFormat="false" ht="34" hidden="false" customHeight="true" outlineLevel="0" collapsed="false">
      <c r="A3" s="6" t="s">
        <v>43</v>
      </c>
      <c r="B3" s="23" t="n">
        <v>46235</v>
      </c>
      <c r="C3" s="6" t="s">
        <v>44</v>
      </c>
    </row>
    <row r="4" customFormat="false" ht="34" hidden="false" customHeight="true" outlineLevel="0" collapsed="false">
      <c r="A4" s="21" t="s">
        <v>45</v>
      </c>
      <c r="B4" s="8" t="n">
        <f aca="false">COUNTIFS('Acompanhamento diário'!$A$2:$A$32,"&lt;&gt;",'Acompanhamento diário'!$B$2:$B$32,"Sim")</f>
        <v>26</v>
      </c>
      <c r="C4" s="21" t="s">
        <v>46</v>
      </c>
    </row>
    <row r="5" customFormat="false" ht="34" hidden="false" customHeight="true" outlineLevel="0" collapsed="false">
      <c r="A5" s="6" t="s">
        <v>47</v>
      </c>
      <c r="B5" s="24" t="n">
        <v>2</v>
      </c>
      <c r="C5" s="6" t="s">
        <v>42</v>
      </c>
    </row>
    <row r="6" customFormat="false" ht="34" hidden="false" customHeight="true" outlineLevel="0" collapsed="false">
      <c r="A6" s="21" t="s">
        <v>48</v>
      </c>
      <c r="B6" s="25" t="n">
        <f aca="false">IFERROR(B2/B4,0)</f>
        <v>769.230769230769</v>
      </c>
      <c r="C6" s="21" t="s">
        <v>49</v>
      </c>
    </row>
    <row r="7" customFormat="false" ht="34" hidden="false" customHeight="true" outlineLevel="0" collapsed="false">
      <c r="A7" s="6" t="s">
        <v>50</v>
      </c>
      <c r="B7" s="25" t="n">
        <f aca="false">IFERROR(B6/B5,0)</f>
        <v>384.615384615385</v>
      </c>
      <c r="C7" s="6" t="s">
        <v>51</v>
      </c>
    </row>
  </sheetData>
  <dataValidations count="3">
    <dataValidation allowBlank="true" error="Informe uma meta mensal maior que zero." errorStyle="stop" errorTitle="Valor inválido" operator="greaterThan" showDropDown="false" showErrorMessage="true" showInputMessage="false" sqref="B2" type="decimal">
      <formula1>0</formula1>
      <formula2>0</formula2>
    </dataValidation>
    <dataValidation allowBlank="true" error="Informe uma data válida para o mês de referência." errorStyle="stop" errorTitle="Valor inválido" operator="between" showDropDown="false" showErrorMessage="true" showInputMessage="false" sqref="B3" type="date">
      <formula1>DATE(2020,1,1)</formula1>
      <formula2>DATE(2100,12,31)</formula2>
    </dataValidation>
    <dataValidation allowBlank="true" error="Informe de 1 a 100 profissionais ativos." errorStyle="stop" errorTitle="Valor inválido" operator="between" showDropDown="false" showErrorMessage="true" showInputMessage="false" sqref="B5" type="whole">
      <formula1>1</formula1>
      <formula2>100</formula2>
    </dataValidation>
  </dataValidations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16.84"/>
    <col collapsed="false" customWidth="true" hidden="false" outlineLevel="0" max="2" min="2" style="0" width="22.84"/>
    <col collapsed="false" customWidth="true" hidden="false" outlineLevel="0" max="3" min="3" style="0" width="26.84"/>
    <col collapsed="false" customWidth="true" hidden="false" outlineLevel="0" max="4" min="4" style="0" width="22.84"/>
    <col collapsed="false" customWidth="true" hidden="false" outlineLevel="0" max="5" min="5" style="0" width="20.84"/>
    <col collapsed="false" customWidth="true" hidden="false" outlineLevel="0" max="6" min="6" style="0" width="16.84"/>
    <col collapsed="false" customWidth="true" hidden="false" outlineLevel="0" max="7" min="7" style="0" width="38.83"/>
  </cols>
  <sheetData>
    <row r="1" customFormat="false" ht="30" hidden="false" customHeight="true" outlineLevel="0" collapsed="false">
      <c r="A1" s="20" t="s">
        <v>52</v>
      </c>
      <c r="B1" s="20" t="s">
        <v>53</v>
      </c>
      <c r="C1" s="20" t="s">
        <v>54</v>
      </c>
      <c r="D1" s="20" t="s">
        <v>55</v>
      </c>
      <c r="E1" s="20" t="s">
        <v>56</v>
      </c>
      <c r="F1" s="20" t="s">
        <v>57</v>
      </c>
      <c r="G1" s="20" t="s">
        <v>58</v>
      </c>
    </row>
    <row r="2" customFormat="false" ht="34" hidden="false" customHeight="true" outlineLevel="0" collapsed="false">
      <c r="A2" s="26" t="n">
        <f aca="false">IF(ROW()-1&lt;=DAY(EOMONTH(Meta!$B$3,0)),DATE(YEAR(Meta!$B$3),MONTH(Meta!$B$3),ROW()-1),"")</f>
        <v>46235</v>
      </c>
      <c r="B2" s="24" t="str">
        <f aca="false">IF(A2="","",IF(WEEKDAY(A2,2)=7,"Não","Sim"))</f>
        <v>Sim</v>
      </c>
      <c r="C2" s="22"/>
      <c r="D2" s="27" t="n">
        <f aca="false">IF(OR(A2="",B2&lt;&gt;"Sim"),0,Meta!$B$6)</f>
        <v>769.230769230769</v>
      </c>
      <c r="E2" s="27" t="str">
        <f aca="false">IF(OR(A2="",B2&lt;&gt;"Sim",C2=""),"",C2-D2)</f>
        <v/>
      </c>
      <c r="F2" s="28" t="str">
        <f aca="false">IF(OR(D2=0,C2=""),"",C2/D2)</f>
        <v/>
      </c>
      <c r="G2" s="24"/>
    </row>
    <row r="3" customFormat="false" ht="34" hidden="false" customHeight="true" outlineLevel="0" collapsed="false">
      <c r="A3" s="29" t="n">
        <f aca="false">IF(ROW()-1&lt;=DAY(EOMONTH(Meta!$B$3,0)),DATE(YEAR(Meta!$B$3),MONTH(Meta!$B$3),ROW()-1),"")</f>
        <v>46236</v>
      </c>
      <c r="B3" s="24" t="str">
        <f aca="false">IF(A3="","",IF(WEEKDAY(A3,2)=7,"Não","Sim"))</f>
        <v>Não</v>
      </c>
      <c r="C3" s="22"/>
      <c r="D3" s="30" t="n">
        <f aca="false">IF(OR(A3="",B3&lt;&gt;"Sim"),0,Meta!$B$6)</f>
        <v>0</v>
      </c>
      <c r="E3" s="30" t="str">
        <f aca="false">IF(OR(A3="",B3&lt;&gt;"Sim",C3=""),"",C3-D3)</f>
        <v/>
      </c>
      <c r="F3" s="31" t="str">
        <f aca="false">IF(OR(D3=0,C3=""),"",C3/D3)</f>
        <v/>
      </c>
      <c r="G3" s="24"/>
    </row>
    <row r="4" customFormat="false" ht="34" hidden="false" customHeight="true" outlineLevel="0" collapsed="false">
      <c r="A4" s="26" t="n">
        <f aca="false">IF(ROW()-1&lt;=DAY(EOMONTH(Meta!$B$3,0)),DATE(YEAR(Meta!$B$3),MONTH(Meta!$B$3),ROW()-1),"")</f>
        <v>46237</v>
      </c>
      <c r="B4" s="24" t="str">
        <f aca="false">IF(A4="","",IF(WEEKDAY(A4,2)=7,"Não","Sim"))</f>
        <v>Sim</v>
      </c>
      <c r="C4" s="22"/>
      <c r="D4" s="27" t="n">
        <f aca="false">IF(OR(A4="",B4&lt;&gt;"Sim"),0,Meta!$B$6)</f>
        <v>769.230769230769</v>
      </c>
      <c r="E4" s="27" t="str">
        <f aca="false">IF(OR(A4="",B4&lt;&gt;"Sim",C4=""),"",C4-D4)</f>
        <v/>
      </c>
      <c r="F4" s="28" t="str">
        <f aca="false">IF(OR(D4=0,C4=""),"",C4/D4)</f>
        <v/>
      </c>
      <c r="G4" s="24"/>
    </row>
    <row r="5" customFormat="false" ht="34" hidden="false" customHeight="true" outlineLevel="0" collapsed="false">
      <c r="A5" s="29" t="n">
        <f aca="false">IF(ROW()-1&lt;=DAY(EOMONTH(Meta!$B$3,0)),DATE(YEAR(Meta!$B$3),MONTH(Meta!$B$3),ROW()-1),"")</f>
        <v>46238</v>
      </c>
      <c r="B5" s="24" t="str">
        <f aca="false">IF(A5="","",IF(WEEKDAY(A5,2)=7,"Não","Sim"))</f>
        <v>Sim</v>
      </c>
      <c r="C5" s="22"/>
      <c r="D5" s="30" t="n">
        <f aca="false">IF(OR(A5="",B5&lt;&gt;"Sim"),0,Meta!$B$6)</f>
        <v>769.230769230769</v>
      </c>
      <c r="E5" s="30" t="str">
        <f aca="false">IF(OR(A5="",B5&lt;&gt;"Sim",C5=""),"",C5-D5)</f>
        <v/>
      </c>
      <c r="F5" s="31" t="str">
        <f aca="false">IF(OR(D5=0,C5=""),"",C5/D5)</f>
        <v/>
      </c>
      <c r="G5" s="24"/>
    </row>
    <row r="6" customFormat="false" ht="34" hidden="false" customHeight="true" outlineLevel="0" collapsed="false">
      <c r="A6" s="26" t="n">
        <f aca="false">IF(ROW()-1&lt;=DAY(EOMONTH(Meta!$B$3,0)),DATE(YEAR(Meta!$B$3),MONTH(Meta!$B$3),ROW()-1),"")</f>
        <v>46239</v>
      </c>
      <c r="B6" s="24" t="str">
        <f aca="false">IF(A6="","",IF(WEEKDAY(A6,2)=7,"Não","Sim"))</f>
        <v>Sim</v>
      </c>
      <c r="C6" s="22"/>
      <c r="D6" s="27" t="n">
        <f aca="false">IF(OR(A6="",B6&lt;&gt;"Sim"),0,Meta!$B$6)</f>
        <v>769.230769230769</v>
      </c>
      <c r="E6" s="27" t="str">
        <f aca="false">IF(OR(A6="",B6&lt;&gt;"Sim",C6=""),"",C6-D6)</f>
        <v/>
      </c>
      <c r="F6" s="28" t="str">
        <f aca="false">IF(OR(D6=0,C6=""),"",C6/D6)</f>
        <v/>
      </c>
      <c r="G6" s="24"/>
    </row>
    <row r="7" customFormat="false" ht="34" hidden="false" customHeight="true" outlineLevel="0" collapsed="false">
      <c r="A7" s="29" t="n">
        <f aca="false">IF(ROW()-1&lt;=DAY(EOMONTH(Meta!$B$3,0)),DATE(YEAR(Meta!$B$3),MONTH(Meta!$B$3),ROW()-1),"")</f>
        <v>46240</v>
      </c>
      <c r="B7" s="24" t="str">
        <f aca="false">IF(A7="","",IF(WEEKDAY(A7,2)=7,"Não","Sim"))</f>
        <v>Sim</v>
      </c>
      <c r="C7" s="22"/>
      <c r="D7" s="30" t="n">
        <f aca="false">IF(OR(A7="",B7&lt;&gt;"Sim"),0,Meta!$B$6)</f>
        <v>769.230769230769</v>
      </c>
      <c r="E7" s="30" t="str">
        <f aca="false">IF(OR(A7="",B7&lt;&gt;"Sim",C7=""),"",C7-D7)</f>
        <v/>
      </c>
      <c r="F7" s="31" t="str">
        <f aca="false">IF(OR(D7=0,C7=""),"",C7/D7)</f>
        <v/>
      </c>
      <c r="G7" s="24"/>
    </row>
    <row r="8" customFormat="false" ht="34" hidden="false" customHeight="true" outlineLevel="0" collapsed="false">
      <c r="A8" s="26" t="n">
        <f aca="false">IF(ROW()-1&lt;=DAY(EOMONTH(Meta!$B$3,0)),DATE(YEAR(Meta!$B$3),MONTH(Meta!$B$3),ROW()-1),"")</f>
        <v>46241</v>
      </c>
      <c r="B8" s="24" t="str">
        <f aca="false">IF(A8="","",IF(WEEKDAY(A8,2)=7,"Não","Sim"))</f>
        <v>Sim</v>
      </c>
      <c r="C8" s="22"/>
      <c r="D8" s="27" t="n">
        <f aca="false">IF(OR(A8="",B8&lt;&gt;"Sim"),0,Meta!$B$6)</f>
        <v>769.230769230769</v>
      </c>
      <c r="E8" s="27" t="str">
        <f aca="false">IF(OR(A8="",B8&lt;&gt;"Sim",C8=""),"",C8-D8)</f>
        <v/>
      </c>
      <c r="F8" s="28" t="str">
        <f aca="false">IF(OR(D8=0,C8=""),"",C8/D8)</f>
        <v/>
      </c>
      <c r="G8" s="24"/>
    </row>
    <row r="9" customFormat="false" ht="34" hidden="false" customHeight="true" outlineLevel="0" collapsed="false">
      <c r="A9" s="29" t="n">
        <f aca="false">IF(ROW()-1&lt;=DAY(EOMONTH(Meta!$B$3,0)),DATE(YEAR(Meta!$B$3),MONTH(Meta!$B$3),ROW()-1),"")</f>
        <v>46242</v>
      </c>
      <c r="B9" s="24" t="str">
        <f aca="false">IF(A9="","",IF(WEEKDAY(A9,2)=7,"Não","Sim"))</f>
        <v>Sim</v>
      </c>
      <c r="C9" s="22"/>
      <c r="D9" s="30" t="n">
        <f aca="false">IF(OR(A9="",B9&lt;&gt;"Sim"),0,Meta!$B$6)</f>
        <v>769.230769230769</v>
      </c>
      <c r="E9" s="30" t="str">
        <f aca="false">IF(OR(A9="",B9&lt;&gt;"Sim",C9=""),"",C9-D9)</f>
        <v/>
      </c>
      <c r="F9" s="31" t="str">
        <f aca="false">IF(OR(D9=0,C9=""),"",C9/D9)</f>
        <v/>
      </c>
      <c r="G9" s="24"/>
    </row>
    <row r="10" customFormat="false" ht="34" hidden="false" customHeight="true" outlineLevel="0" collapsed="false">
      <c r="A10" s="26" t="n">
        <f aca="false">IF(ROW()-1&lt;=DAY(EOMONTH(Meta!$B$3,0)),DATE(YEAR(Meta!$B$3),MONTH(Meta!$B$3),ROW()-1),"")</f>
        <v>46243</v>
      </c>
      <c r="B10" s="24" t="str">
        <f aca="false">IF(A10="","",IF(WEEKDAY(A10,2)=7,"Não","Sim"))</f>
        <v>Não</v>
      </c>
      <c r="C10" s="22"/>
      <c r="D10" s="27" t="n">
        <f aca="false">IF(OR(A10="",B10&lt;&gt;"Sim"),0,Meta!$B$6)</f>
        <v>0</v>
      </c>
      <c r="E10" s="27" t="str">
        <f aca="false">IF(OR(A10="",B10&lt;&gt;"Sim",C10=""),"",C10-D10)</f>
        <v/>
      </c>
      <c r="F10" s="28" t="str">
        <f aca="false">IF(OR(D10=0,C10=""),"",C10/D10)</f>
        <v/>
      </c>
      <c r="G10" s="24"/>
    </row>
    <row r="11" customFormat="false" ht="34" hidden="false" customHeight="true" outlineLevel="0" collapsed="false">
      <c r="A11" s="29" t="n">
        <f aca="false">IF(ROW()-1&lt;=DAY(EOMONTH(Meta!$B$3,0)),DATE(YEAR(Meta!$B$3),MONTH(Meta!$B$3),ROW()-1),"")</f>
        <v>46244</v>
      </c>
      <c r="B11" s="24" t="str">
        <f aca="false">IF(A11="","",IF(WEEKDAY(A11,2)=7,"Não","Sim"))</f>
        <v>Sim</v>
      </c>
      <c r="C11" s="22"/>
      <c r="D11" s="30" t="n">
        <f aca="false">IF(OR(A11="",B11&lt;&gt;"Sim"),0,Meta!$B$6)</f>
        <v>769.230769230769</v>
      </c>
      <c r="E11" s="30" t="str">
        <f aca="false">IF(OR(A11="",B11&lt;&gt;"Sim",C11=""),"",C11-D11)</f>
        <v/>
      </c>
      <c r="F11" s="31" t="str">
        <f aca="false">IF(OR(D11=0,C11=""),"",C11/D11)</f>
        <v/>
      </c>
      <c r="G11" s="24"/>
    </row>
    <row r="12" customFormat="false" ht="34" hidden="false" customHeight="true" outlineLevel="0" collapsed="false">
      <c r="A12" s="26" t="n">
        <f aca="false">IF(ROW()-1&lt;=DAY(EOMONTH(Meta!$B$3,0)),DATE(YEAR(Meta!$B$3),MONTH(Meta!$B$3),ROW()-1),"")</f>
        <v>46245</v>
      </c>
      <c r="B12" s="24" t="str">
        <f aca="false">IF(A12="","",IF(WEEKDAY(A12,2)=7,"Não","Sim"))</f>
        <v>Sim</v>
      </c>
      <c r="C12" s="22"/>
      <c r="D12" s="27" t="n">
        <f aca="false">IF(OR(A12="",B12&lt;&gt;"Sim"),0,Meta!$B$6)</f>
        <v>769.230769230769</v>
      </c>
      <c r="E12" s="27" t="str">
        <f aca="false">IF(OR(A12="",B12&lt;&gt;"Sim",C12=""),"",C12-D12)</f>
        <v/>
      </c>
      <c r="F12" s="28" t="str">
        <f aca="false">IF(OR(D12=0,C12=""),"",C12/D12)</f>
        <v/>
      </c>
      <c r="G12" s="24"/>
    </row>
    <row r="13" customFormat="false" ht="34" hidden="false" customHeight="true" outlineLevel="0" collapsed="false">
      <c r="A13" s="29" t="n">
        <f aca="false">IF(ROW()-1&lt;=DAY(EOMONTH(Meta!$B$3,0)),DATE(YEAR(Meta!$B$3),MONTH(Meta!$B$3),ROW()-1),"")</f>
        <v>46246</v>
      </c>
      <c r="B13" s="24" t="str">
        <f aca="false">IF(A13="","",IF(WEEKDAY(A13,2)=7,"Não","Sim"))</f>
        <v>Sim</v>
      </c>
      <c r="C13" s="22"/>
      <c r="D13" s="30" t="n">
        <f aca="false">IF(OR(A13="",B13&lt;&gt;"Sim"),0,Meta!$B$6)</f>
        <v>769.230769230769</v>
      </c>
      <c r="E13" s="30" t="str">
        <f aca="false">IF(OR(A13="",B13&lt;&gt;"Sim",C13=""),"",C13-D13)</f>
        <v/>
      </c>
      <c r="F13" s="31" t="str">
        <f aca="false">IF(OR(D13=0,C13=""),"",C13/D13)</f>
        <v/>
      </c>
      <c r="G13" s="24"/>
    </row>
    <row r="14" customFormat="false" ht="34" hidden="false" customHeight="true" outlineLevel="0" collapsed="false">
      <c r="A14" s="26" t="n">
        <f aca="false">IF(ROW()-1&lt;=DAY(EOMONTH(Meta!$B$3,0)),DATE(YEAR(Meta!$B$3),MONTH(Meta!$B$3),ROW()-1),"")</f>
        <v>46247</v>
      </c>
      <c r="B14" s="24" t="str">
        <f aca="false">IF(A14="","",IF(WEEKDAY(A14,2)=7,"Não","Sim"))</f>
        <v>Sim</v>
      </c>
      <c r="C14" s="22"/>
      <c r="D14" s="27" t="n">
        <f aca="false">IF(OR(A14="",B14&lt;&gt;"Sim"),0,Meta!$B$6)</f>
        <v>769.230769230769</v>
      </c>
      <c r="E14" s="27" t="str">
        <f aca="false">IF(OR(A14="",B14&lt;&gt;"Sim",C14=""),"",C14-D14)</f>
        <v/>
      </c>
      <c r="F14" s="28" t="str">
        <f aca="false">IF(OR(D14=0,C14=""),"",C14/D14)</f>
        <v/>
      </c>
      <c r="G14" s="24"/>
    </row>
    <row r="15" customFormat="false" ht="34" hidden="false" customHeight="true" outlineLevel="0" collapsed="false">
      <c r="A15" s="29" t="n">
        <f aca="false">IF(ROW()-1&lt;=DAY(EOMONTH(Meta!$B$3,0)),DATE(YEAR(Meta!$B$3),MONTH(Meta!$B$3),ROW()-1),"")</f>
        <v>46248</v>
      </c>
      <c r="B15" s="24" t="str">
        <f aca="false">IF(A15="","",IF(WEEKDAY(A15,2)=7,"Não","Sim"))</f>
        <v>Sim</v>
      </c>
      <c r="C15" s="22"/>
      <c r="D15" s="30" t="n">
        <f aca="false">IF(OR(A15="",B15&lt;&gt;"Sim"),0,Meta!$B$6)</f>
        <v>769.230769230769</v>
      </c>
      <c r="E15" s="30" t="str">
        <f aca="false">IF(OR(A15="",B15&lt;&gt;"Sim",C15=""),"",C15-D15)</f>
        <v/>
      </c>
      <c r="F15" s="31" t="str">
        <f aca="false">IF(OR(D15=0,C15=""),"",C15/D15)</f>
        <v/>
      </c>
      <c r="G15" s="24"/>
    </row>
    <row r="16" customFormat="false" ht="34" hidden="false" customHeight="true" outlineLevel="0" collapsed="false">
      <c r="A16" s="26" t="n">
        <f aca="false">IF(ROW()-1&lt;=DAY(EOMONTH(Meta!$B$3,0)),DATE(YEAR(Meta!$B$3),MONTH(Meta!$B$3),ROW()-1),"")</f>
        <v>46249</v>
      </c>
      <c r="B16" s="24" t="str">
        <f aca="false">IF(A16="","",IF(WEEKDAY(A16,2)=7,"Não","Sim"))</f>
        <v>Sim</v>
      </c>
      <c r="C16" s="22"/>
      <c r="D16" s="27" t="n">
        <f aca="false">IF(OR(A16="",B16&lt;&gt;"Sim"),0,Meta!$B$6)</f>
        <v>769.230769230769</v>
      </c>
      <c r="E16" s="27" t="str">
        <f aca="false">IF(OR(A16="",B16&lt;&gt;"Sim",C16=""),"",C16-D16)</f>
        <v/>
      </c>
      <c r="F16" s="28" t="str">
        <f aca="false">IF(OR(D16=0,C16=""),"",C16/D16)</f>
        <v/>
      </c>
      <c r="G16" s="24"/>
    </row>
    <row r="17" customFormat="false" ht="34" hidden="false" customHeight="true" outlineLevel="0" collapsed="false">
      <c r="A17" s="29" t="n">
        <f aca="false">IF(ROW()-1&lt;=DAY(EOMONTH(Meta!$B$3,0)),DATE(YEAR(Meta!$B$3),MONTH(Meta!$B$3),ROW()-1),"")</f>
        <v>46250</v>
      </c>
      <c r="B17" s="24" t="str">
        <f aca="false">IF(A17="","",IF(WEEKDAY(A17,2)=7,"Não","Sim"))</f>
        <v>Não</v>
      </c>
      <c r="C17" s="22"/>
      <c r="D17" s="30" t="n">
        <f aca="false">IF(OR(A17="",B17&lt;&gt;"Sim"),0,Meta!$B$6)</f>
        <v>0</v>
      </c>
      <c r="E17" s="30" t="str">
        <f aca="false">IF(OR(A17="",B17&lt;&gt;"Sim",C17=""),"",C17-D17)</f>
        <v/>
      </c>
      <c r="F17" s="31" t="str">
        <f aca="false">IF(OR(D17=0,C17=""),"",C17/D17)</f>
        <v/>
      </c>
      <c r="G17" s="24"/>
    </row>
    <row r="18" customFormat="false" ht="34" hidden="false" customHeight="true" outlineLevel="0" collapsed="false">
      <c r="A18" s="26" t="n">
        <f aca="false">IF(ROW()-1&lt;=DAY(EOMONTH(Meta!$B$3,0)),DATE(YEAR(Meta!$B$3),MONTH(Meta!$B$3),ROW()-1),"")</f>
        <v>46251</v>
      </c>
      <c r="B18" s="24" t="str">
        <f aca="false">IF(A18="","",IF(WEEKDAY(A18,2)=7,"Não","Sim"))</f>
        <v>Sim</v>
      </c>
      <c r="C18" s="22"/>
      <c r="D18" s="27" t="n">
        <f aca="false">IF(OR(A18="",B18&lt;&gt;"Sim"),0,Meta!$B$6)</f>
        <v>769.230769230769</v>
      </c>
      <c r="E18" s="27" t="str">
        <f aca="false">IF(OR(A18="",B18&lt;&gt;"Sim",C18=""),"",C18-D18)</f>
        <v/>
      </c>
      <c r="F18" s="28" t="str">
        <f aca="false">IF(OR(D18=0,C18=""),"",C18/D18)</f>
        <v/>
      </c>
      <c r="G18" s="24"/>
    </row>
    <row r="19" customFormat="false" ht="34" hidden="false" customHeight="true" outlineLevel="0" collapsed="false">
      <c r="A19" s="29" t="n">
        <f aca="false">IF(ROW()-1&lt;=DAY(EOMONTH(Meta!$B$3,0)),DATE(YEAR(Meta!$B$3),MONTH(Meta!$B$3),ROW()-1),"")</f>
        <v>46252</v>
      </c>
      <c r="B19" s="24" t="str">
        <f aca="false">IF(A19="","",IF(WEEKDAY(A19,2)=7,"Não","Sim"))</f>
        <v>Sim</v>
      </c>
      <c r="C19" s="22"/>
      <c r="D19" s="30" t="n">
        <f aca="false">IF(OR(A19="",B19&lt;&gt;"Sim"),0,Meta!$B$6)</f>
        <v>769.230769230769</v>
      </c>
      <c r="E19" s="30" t="str">
        <f aca="false">IF(OR(A19="",B19&lt;&gt;"Sim",C19=""),"",C19-D19)</f>
        <v/>
      </c>
      <c r="F19" s="31" t="str">
        <f aca="false">IF(OR(D19=0,C19=""),"",C19/D19)</f>
        <v/>
      </c>
      <c r="G19" s="24"/>
    </row>
    <row r="20" customFormat="false" ht="34" hidden="false" customHeight="true" outlineLevel="0" collapsed="false">
      <c r="A20" s="26" t="n">
        <f aca="false">IF(ROW()-1&lt;=DAY(EOMONTH(Meta!$B$3,0)),DATE(YEAR(Meta!$B$3),MONTH(Meta!$B$3),ROW()-1),"")</f>
        <v>46253</v>
      </c>
      <c r="B20" s="24" t="str">
        <f aca="false">IF(A20="","",IF(WEEKDAY(A20,2)=7,"Não","Sim"))</f>
        <v>Sim</v>
      </c>
      <c r="C20" s="22"/>
      <c r="D20" s="27" t="n">
        <f aca="false">IF(OR(A20="",B20&lt;&gt;"Sim"),0,Meta!$B$6)</f>
        <v>769.230769230769</v>
      </c>
      <c r="E20" s="27" t="str">
        <f aca="false">IF(OR(A20="",B20&lt;&gt;"Sim",C20=""),"",C20-D20)</f>
        <v/>
      </c>
      <c r="F20" s="28" t="str">
        <f aca="false">IF(OR(D20=0,C20=""),"",C20/D20)</f>
        <v/>
      </c>
      <c r="G20" s="24"/>
    </row>
    <row r="21" customFormat="false" ht="34" hidden="false" customHeight="true" outlineLevel="0" collapsed="false">
      <c r="A21" s="29" t="n">
        <f aca="false">IF(ROW()-1&lt;=DAY(EOMONTH(Meta!$B$3,0)),DATE(YEAR(Meta!$B$3),MONTH(Meta!$B$3),ROW()-1),"")</f>
        <v>46254</v>
      </c>
      <c r="B21" s="24" t="str">
        <f aca="false">IF(A21="","",IF(WEEKDAY(A21,2)=7,"Não","Sim"))</f>
        <v>Sim</v>
      </c>
      <c r="C21" s="22"/>
      <c r="D21" s="30" t="n">
        <f aca="false">IF(OR(A21="",B21&lt;&gt;"Sim"),0,Meta!$B$6)</f>
        <v>769.230769230769</v>
      </c>
      <c r="E21" s="30" t="str">
        <f aca="false">IF(OR(A21="",B21&lt;&gt;"Sim",C21=""),"",C21-D21)</f>
        <v/>
      </c>
      <c r="F21" s="31" t="str">
        <f aca="false">IF(OR(D21=0,C21=""),"",C21/D21)</f>
        <v/>
      </c>
      <c r="G21" s="24"/>
    </row>
    <row r="22" customFormat="false" ht="34" hidden="false" customHeight="true" outlineLevel="0" collapsed="false">
      <c r="A22" s="26" t="n">
        <f aca="false">IF(ROW()-1&lt;=DAY(EOMONTH(Meta!$B$3,0)),DATE(YEAR(Meta!$B$3),MONTH(Meta!$B$3),ROW()-1),"")</f>
        <v>46255</v>
      </c>
      <c r="B22" s="24" t="str">
        <f aca="false">IF(A22="","",IF(WEEKDAY(A22,2)=7,"Não","Sim"))</f>
        <v>Sim</v>
      </c>
      <c r="C22" s="22"/>
      <c r="D22" s="27" t="n">
        <f aca="false">IF(OR(A22="",B22&lt;&gt;"Sim"),0,Meta!$B$6)</f>
        <v>769.230769230769</v>
      </c>
      <c r="E22" s="27" t="str">
        <f aca="false">IF(OR(A22="",B22&lt;&gt;"Sim",C22=""),"",C22-D22)</f>
        <v/>
      </c>
      <c r="F22" s="28" t="str">
        <f aca="false">IF(OR(D22=0,C22=""),"",C22/D22)</f>
        <v/>
      </c>
      <c r="G22" s="24"/>
    </row>
    <row r="23" customFormat="false" ht="34" hidden="false" customHeight="true" outlineLevel="0" collapsed="false">
      <c r="A23" s="29" t="n">
        <f aca="false">IF(ROW()-1&lt;=DAY(EOMONTH(Meta!$B$3,0)),DATE(YEAR(Meta!$B$3),MONTH(Meta!$B$3),ROW()-1),"")</f>
        <v>46256</v>
      </c>
      <c r="B23" s="24" t="str">
        <f aca="false">IF(A23="","",IF(WEEKDAY(A23,2)=7,"Não","Sim"))</f>
        <v>Sim</v>
      </c>
      <c r="C23" s="22"/>
      <c r="D23" s="30" t="n">
        <f aca="false">IF(OR(A23="",B23&lt;&gt;"Sim"),0,Meta!$B$6)</f>
        <v>769.230769230769</v>
      </c>
      <c r="E23" s="30" t="str">
        <f aca="false">IF(OR(A23="",B23&lt;&gt;"Sim",C23=""),"",C23-D23)</f>
        <v/>
      </c>
      <c r="F23" s="31" t="str">
        <f aca="false">IF(OR(D23=0,C23=""),"",C23/D23)</f>
        <v/>
      </c>
      <c r="G23" s="24"/>
    </row>
    <row r="24" customFormat="false" ht="34" hidden="false" customHeight="true" outlineLevel="0" collapsed="false">
      <c r="A24" s="26" t="n">
        <f aca="false">IF(ROW()-1&lt;=DAY(EOMONTH(Meta!$B$3,0)),DATE(YEAR(Meta!$B$3),MONTH(Meta!$B$3),ROW()-1),"")</f>
        <v>46257</v>
      </c>
      <c r="B24" s="24" t="str">
        <f aca="false">IF(A24="","",IF(WEEKDAY(A24,2)=7,"Não","Sim"))</f>
        <v>Não</v>
      </c>
      <c r="C24" s="22"/>
      <c r="D24" s="27" t="n">
        <f aca="false">IF(OR(A24="",B24&lt;&gt;"Sim"),0,Meta!$B$6)</f>
        <v>0</v>
      </c>
      <c r="E24" s="27" t="str">
        <f aca="false">IF(OR(A24="",B24&lt;&gt;"Sim",C24=""),"",C24-D24)</f>
        <v/>
      </c>
      <c r="F24" s="28" t="str">
        <f aca="false">IF(OR(D24=0,C24=""),"",C24/D24)</f>
        <v/>
      </c>
      <c r="G24" s="24"/>
    </row>
    <row r="25" customFormat="false" ht="34" hidden="false" customHeight="true" outlineLevel="0" collapsed="false">
      <c r="A25" s="29" t="n">
        <f aca="false">IF(ROW()-1&lt;=DAY(EOMONTH(Meta!$B$3,0)),DATE(YEAR(Meta!$B$3),MONTH(Meta!$B$3),ROW()-1),"")</f>
        <v>46258</v>
      </c>
      <c r="B25" s="24" t="str">
        <f aca="false">IF(A25="","",IF(WEEKDAY(A25,2)=7,"Não","Sim"))</f>
        <v>Sim</v>
      </c>
      <c r="C25" s="22"/>
      <c r="D25" s="30" t="n">
        <f aca="false">IF(OR(A25="",B25&lt;&gt;"Sim"),0,Meta!$B$6)</f>
        <v>769.230769230769</v>
      </c>
      <c r="E25" s="30" t="str">
        <f aca="false">IF(OR(A25="",B25&lt;&gt;"Sim",C25=""),"",C25-D25)</f>
        <v/>
      </c>
      <c r="F25" s="31" t="str">
        <f aca="false">IF(OR(D25=0,C25=""),"",C25/D25)</f>
        <v/>
      </c>
      <c r="G25" s="24"/>
    </row>
    <row r="26" customFormat="false" ht="34" hidden="false" customHeight="true" outlineLevel="0" collapsed="false">
      <c r="A26" s="26" t="n">
        <f aca="false">IF(ROW()-1&lt;=DAY(EOMONTH(Meta!$B$3,0)),DATE(YEAR(Meta!$B$3),MONTH(Meta!$B$3),ROW()-1),"")</f>
        <v>46259</v>
      </c>
      <c r="B26" s="24" t="str">
        <f aca="false">IF(A26="","",IF(WEEKDAY(A26,2)=7,"Não","Sim"))</f>
        <v>Sim</v>
      </c>
      <c r="C26" s="22"/>
      <c r="D26" s="27" t="n">
        <f aca="false">IF(OR(A26="",B26&lt;&gt;"Sim"),0,Meta!$B$6)</f>
        <v>769.230769230769</v>
      </c>
      <c r="E26" s="27" t="str">
        <f aca="false">IF(OR(A26="",B26&lt;&gt;"Sim",C26=""),"",C26-D26)</f>
        <v/>
      </c>
      <c r="F26" s="28" t="str">
        <f aca="false">IF(OR(D26=0,C26=""),"",C26/D26)</f>
        <v/>
      </c>
      <c r="G26" s="24"/>
    </row>
    <row r="27" customFormat="false" ht="34" hidden="false" customHeight="true" outlineLevel="0" collapsed="false">
      <c r="A27" s="29" t="n">
        <f aca="false">IF(ROW()-1&lt;=DAY(EOMONTH(Meta!$B$3,0)),DATE(YEAR(Meta!$B$3),MONTH(Meta!$B$3),ROW()-1),"")</f>
        <v>46260</v>
      </c>
      <c r="B27" s="24" t="str">
        <f aca="false">IF(A27="","",IF(WEEKDAY(A27,2)=7,"Não","Sim"))</f>
        <v>Sim</v>
      </c>
      <c r="C27" s="22"/>
      <c r="D27" s="30" t="n">
        <f aca="false">IF(OR(A27="",B27&lt;&gt;"Sim"),0,Meta!$B$6)</f>
        <v>769.230769230769</v>
      </c>
      <c r="E27" s="30" t="str">
        <f aca="false">IF(OR(A27="",B27&lt;&gt;"Sim",C27=""),"",C27-D27)</f>
        <v/>
      </c>
      <c r="F27" s="31" t="str">
        <f aca="false">IF(OR(D27=0,C27=""),"",C27/D27)</f>
        <v/>
      </c>
      <c r="G27" s="24"/>
    </row>
    <row r="28" customFormat="false" ht="34" hidden="false" customHeight="true" outlineLevel="0" collapsed="false">
      <c r="A28" s="26" t="n">
        <f aca="false">IF(ROW()-1&lt;=DAY(EOMONTH(Meta!$B$3,0)),DATE(YEAR(Meta!$B$3),MONTH(Meta!$B$3),ROW()-1),"")</f>
        <v>46261</v>
      </c>
      <c r="B28" s="24" t="str">
        <f aca="false">IF(A28="","",IF(WEEKDAY(A28,2)=7,"Não","Sim"))</f>
        <v>Sim</v>
      </c>
      <c r="C28" s="22"/>
      <c r="D28" s="27" t="n">
        <f aca="false">IF(OR(A28="",B28&lt;&gt;"Sim"),0,Meta!$B$6)</f>
        <v>769.230769230769</v>
      </c>
      <c r="E28" s="27" t="str">
        <f aca="false">IF(OR(A28="",B28&lt;&gt;"Sim",C28=""),"",C28-D28)</f>
        <v/>
      </c>
      <c r="F28" s="28" t="str">
        <f aca="false">IF(OR(D28=0,C28=""),"",C28/D28)</f>
        <v/>
      </c>
      <c r="G28" s="24"/>
    </row>
    <row r="29" customFormat="false" ht="34" hidden="false" customHeight="true" outlineLevel="0" collapsed="false">
      <c r="A29" s="29" t="n">
        <f aca="false">IF(ROW()-1&lt;=DAY(EOMONTH(Meta!$B$3,0)),DATE(YEAR(Meta!$B$3),MONTH(Meta!$B$3),ROW()-1),"")</f>
        <v>46262</v>
      </c>
      <c r="B29" s="24" t="str">
        <f aca="false">IF(A29="","",IF(WEEKDAY(A29,2)=7,"Não","Sim"))</f>
        <v>Sim</v>
      </c>
      <c r="C29" s="22"/>
      <c r="D29" s="30" t="n">
        <f aca="false">IF(OR(A29="",B29&lt;&gt;"Sim"),0,Meta!$B$6)</f>
        <v>769.230769230769</v>
      </c>
      <c r="E29" s="30" t="str">
        <f aca="false">IF(OR(A29="",B29&lt;&gt;"Sim",C29=""),"",C29-D29)</f>
        <v/>
      </c>
      <c r="F29" s="31" t="str">
        <f aca="false">IF(OR(D29=0,C29=""),"",C29/D29)</f>
        <v/>
      </c>
      <c r="G29" s="24"/>
    </row>
    <row r="30" customFormat="false" ht="34" hidden="false" customHeight="true" outlineLevel="0" collapsed="false">
      <c r="A30" s="26" t="n">
        <f aca="false">IF(ROW()-1&lt;=DAY(EOMONTH(Meta!$B$3,0)),DATE(YEAR(Meta!$B$3),MONTH(Meta!$B$3),ROW()-1),"")</f>
        <v>46263</v>
      </c>
      <c r="B30" s="24" t="str">
        <f aca="false">IF(A30="","",IF(WEEKDAY(A30,2)=7,"Não","Sim"))</f>
        <v>Sim</v>
      </c>
      <c r="C30" s="22"/>
      <c r="D30" s="27" t="n">
        <f aca="false">IF(OR(A30="",B30&lt;&gt;"Sim"),0,Meta!$B$6)</f>
        <v>769.230769230769</v>
      </c>
      <c r="E30" s="27" t="str">
        <f aca="false">IF(OR(A30="",B30&lt;&gt;"Sim",C30=""),"",C30-D30)</f>
        <v/>
      </c>
      <c r="F30" s="28" t="str">
        <f aca="false">IF(OR(D30=0,C30=""),"",C30/D30)</f>
        <v/>
      </c>
      <c r="G30" s="24"/>
    </row>
    <row r="31" customFormat="false" ht="34" hidden="false" customHeight="true" outlineLevel="0" collapsed="false">
      <c r="A31" s="29" t="n">
        <f aca="false">IF(ROW()-1&lt;=DAY(EOMONTH(Meta!$B$3,0)),DATE(YEAR(Meta!$B$3),MONTH(Meta!$B$3),ROW()-1),"")</f>
        <v>46264</v>
      </c>
      <c r="B31" s="24" t="str">
        <f aca="false">IF(A31="","",IF(WEEKDAY(A31,2)=7,"Não","Sim"))</f>
        <v>Não</v>
      </c>
      <c r="C31" s="22"/>
      <c r="D31" s="30" t="n">
        <f aca="false">IF(OR(A31="",B31&lt;&gt;"Sim"),0,Meta!$B$6)</f>
        <v>0</v>
      </c>
      <c r="E31" s="30" t="str">
        <f aca="false">IF(OR(A31="",B31&lt;&gt;"Sim",C31=""),"",C31-D31)</f>
        <v/>
      </c>
      <c r="F31" s="31" t="str">
        <f aca="false">IF(OR(D31=0,C31=""),"",C31/D31)</f>
        <v/>
      </c>
      <c r="G31" s="24"/>
    </row>
    <row r="32" customFormat="false" ht="34" hidden="false" customHeight="true" outlineLevel="0" collapsed="false">
      <c r="A32" s="26" t="n">
        <f aca="false">IF(ROW()-1&lt;=DAY(EOMONTH(Meta!$B$3,0)),DATE(YEAR(Meta!$B$3),MONTH(Meta!$B$3),ROW()-1),"")</f>
        <v>46265</v>
      </c>
      <c r="B32" s="24" t="str">
        <f aca="false">IF(A32="","",IF(WEEKDAY(A32,2)=7,"Não","Sim"))</f>
        <v>Sim</v>
      </c>
      <c r="C32" s="22"/>
      <c r="D32" s="27" t="n">
        <f aca="false">IF(OR(A32="",B32&lt;&gt;"Sim"),0,Meta!$B$6)</f>
        <v>769.230769230769</v>
      </c>
      <c r="E32" s="27" t="str">
        <f aca="false">IF(OR(A32="",B32&lt;&gt;"Sim",C32=""),"",C32-D32)</f>
        <v/>
      </c>
      <c r="F32" s="28" t="str">
        <f aca="false">IF(OR(D32=0,C32=""),"",C32/D32)</f>
        <v/>
      </c>
      <c r="G32" s="24"/>
    </row>
    <row r="33" customFormat="false" ht="34" hidden="false" customHeight="true" outlineLevel="0" collapsed="false">
      <c r="A33" s="20" t="s">
        <v>59</v>
      </c>
      <c r="B33" s="20"/>
      <c r="C33" s="32" t="n">
        <f aca="false">SUM(C2:C32)</f>
        <v>0</v>
      </c>
      <c r="D33" s="32" t="n">
        <f aca="false">Meta!$B$2</f>
        <v>20000</v>
      </c>
      <c r="E33" s="32" t="n">
        <f aca="false">C33-D33</f>
        <v>-20000</v>
      </c>
      <c r="F33" s="33" t="n">
        <f aca="false">IFERROR(C33/D33,0)</f>
        <v>0</v>
      </c>
      <c r="G33" s="20"/>
    </row>
  </sheetData>
  <autoFilter ref="A1:G33"/>
  <dataValidations count="2">
    <dataValidation allowBlank="true" error="Escolha Sim para dias de atendimento e Não para dias fechados ou folgas." errorStyle="stop" errorTitle="Valor inválido" operator="between" prompt="Dias marcados como Não não reduzem o resultado da meta diária." promptTitle="Dia de atendimento" showDropDown="false" showErrorMessage="true" showInputMessage="true" sqref="B2:B32" type="list">
      <formula1>"Sim,Não"</formula1>
      <formula2>0</formula2>
    </dataValidation>
    <dataValidation allowBlank="true" error="O faturamento não pode ser negativo." errorStyle="stop" errorTitle="Valor inválido" operator="greaterThanOrEqual" showDropDown="false" showErrorMessage="true" showInputMessage="false" sqref="C2:C32" type="decimal">
      <formula1>0</formula1>
      <formula2>0</formula2>
    </dataValidation>
  </dataValidations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  <Company>Flowo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2026-08-23T12:00:00Z</dcterms:created>
  <dc:creator>Flowo</dc:creator>
  <dc:description>Gerado por scripts/generate-premium-materials.mjs</dc:description>
  <dc:language>en-US</dc:language>
  <cp:lastModifiedBy/>
  <cp:revision>0</cp:revision>
  <dc:subject>Material educativo para gestão de barbearias</dc:subject>
  <dc:title>Plano de metas de faturamento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