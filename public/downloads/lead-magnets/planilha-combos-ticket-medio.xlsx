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mece aqui" sheetId="1" state="visible" r:id="rId3"/>
    <sheet name="Painel rápido" sheetId="2" state="visible" r:id="rId4"/>
    <sheet name="Combos" sheetId="3" state="visible" r:id="rId5"/>
  </sheets>
  <definedNames>
    <definedName function="false" hidden="false" localSheetId="2" name="_xlnm.Print_Area" vbProcedure="false">Combos!$A$1:$K$22</definedName>
    <definedName function="false" hidden="true" localSheetId="2" name="_xlnm._FilterDatabase" vbProcedure="false">Combos!$A$1:$K$22</definedName>
    <definedName function="false" hidden="false" localSheetId="0" name="_xlnm.Print_Area" vbProcedure="false">'Comece aqui'!$A$1:$F$19</definedName>
    <definedName function="false" hidden="false" localSheetId="1" name="_xlnm.Print_Area" vbProcedure="false">'Painel rápido'!$A$1:$I$18</definedName>
    <definedName function="false" hidden="false" localSheetId="2" name="_xlnm._FilterDatabase" vbProcedure="false">Combos!A1:K22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<sst xmlns="http://schemas.openxmlformats.org/spreadsheetml/2006/main" count="53" uniqueCount="53">
  <si>
    <t xml:space="preserve">FLOWO · MATERIAL PRÁTICO</t>
  </si>
  <si>
    <t xml:space="preserve">Planilha de combos e ticket médio</t>
  </si>
  <si>
    <t xml:space="preserve">Compare preço individual, desconto, custo e margem antes de lançar um combo.</t>
  </si>
  <si>
    <t xml:space="preserve">Veja o resumo na próxima aba. Depois, preencha somente as células rosadas e volte ao resumo para decidir o que fazer.</t>
  </si>
  <si>
    <t xml:space="preserve">01</t>
  </si>
  <si>
    <t xml:space="preserve">02</t>
  </si>
  <si>
    <t xml:space="preserve">03</t>
  </si>
  <si>
    <t xml:space="preserve">Cadastre serviços e preços individuais.</t>
  </si>
  <si>
    <t xml:space="preserve">Informe preço, custo e vendas previstas do combo.</t>
  </si>
  <si>
    <t xml:space="preserve">Confira desconto, margem e faturamento projetado antes de decidir.</t>
  </si>
  <si>
    <t xml:space="preserve">LEGENDA RÁPIDA</t>
  </si>
  <si>
    <t xml:space="preserve">DIGITE AQUI</t>
  </si>
  <si>
    <t xml:space="preserve">RESULTADO</t>
  </si>
  <si>
    <t xml:space="preserve">ATENÇÃO</t>
  </si>
  <si>
    <t xml:space="preserve">Células rosadas</t>
  </si>
  <si>
    <t xml:space="preserve">Células verdes</t>
  </si>
  <si>
    <t xml:space="preserve">Células amarelas</t>
  </si>
  <si>
    <t xml:space="preserve">ANTES DE COMEÇAR</t>
  </si>
  <si>
    <t xml:space="preserve">• Não prometa economia se o preço individual não for real.</t>
  </si>
  <si>
    <t xml:space="preserve">• Valide margem, impostos e capacidade antes de divulgar.</t>
  </si>
  <si>
    <t xml:space="preserve">AVISO IMPORTANTE</t>
  </si>
  <si>
    <t xml:space="preserve">Material educativo. Adapte à realidade da sua barbearia e valide decisões contábeis, fiscais, trabalhistas e jurídicas com profissionais habilitados.</t>
  </si>
  <si>
    <t xml:space="preserve">flowo.com.br/recursos/materiais</t>
  </si>
  <si>
    <t xml:space="preserve">FLOWO · RESUMO SIMPLES</t>
  </si>
  <si>
    <t xml:space="preserve">Combos que vendem sem comer sua margem</t>
  </si>
  <si>
    <t xml:space="preserve">Compare desconto, custo e volume antes de divulgar qualquer oferta.</t>
  </si>
  <si>
    <t xml:space="preserve">PRONTOS PARA TESTAR</t>
  </si>
  <si>
    <t xml:space="preserve">FATURAMENTO PROJETADO</t>
  </si>
  <si>
    <t xml:space="preserve">MARGEM PROJETADA</t>
  </si>
  <si>
    <t xml:space="preserve">combos com preço, custo e volume</t>
  </si>
  <si>
    <t xml:space="preserve">se o volume previsto acontecer</t>
  </si>
  <si>
    <t xml:space="preserve">antes de impostos e outros custos</t>
  </si>
  <si>
    <t xml:space="preserve">PRÓXIMA AÇÃO</t>
  </si>
  <si>
    <t xml:space="preserve">Teste um único combo por vez. Se o status pedir revisão, ajuste preço, custo ou quantidade antes de divulgar.</t>
  </si>
  <si>
    <t xml:space="preserve">COMO LER</t>
  </si>
  <si>
    <t xml:space="preserve">1. Preencha as células rosadas nas outras abas.</t>
  </si>
  <si>
    <t xml:space="preserve">2. Volte aqui para conferir os números principais.</t>
  </si>
  <si>
    <t xml:space="preserve">3. Resolva primeiro o que estiver pendente ou bloqueado.</t>
  </si>
  <si>
    <t xml:space="preserve">Combo</t>
  </si>
  <si>
    <t xml:space="preserve">Soma individual (R$)</t>
  </si>
  <si>
    <t xml:space="preserve">Preço do combo (R$)</t>
  </si>
  <si>
    <t xml:space="preserve">Desconto</t>
  </si>
  <si>
    <t xml:space="preserve">Custo unitário estimado (R$)</t>
  </si>
  <si>
    <t xml:space="preserve">Margem unitária (R$)</t>
  </si>
  <si>
    <t xml:space="preserve">Margem unitária (%)</t>
  </si>
  <si>
    <t xml:space="preserve">Vendas previstas</t>
  </si>
  <si>
    <t xml:space="preserve">Faturamento projetado (R$)</t>
  </si>
  <si>
    <t xml:space="preserve">Margem projetada (R$)</t>
  </si>
  <si>
    <t xml:space="preserve">Status</t>
  </si>
  <si>
    <t xml:space="preserve">Corte + barba</t>
  </si>
  <si>
    <t xml:space="preserve">Corte + acabamento</t>
  </si>
  <si>
    <t xml:space="preserve">Barba + tratamento</t>
  </si>
  <si>
    <t xml:space="preserve">TOTAL PROJETADO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</si>
</sst>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&quot;R$ &quot;#,##0.00"/>
    <numFmt numFmtId="167" formatCode="0.0%"/>
  </numFmts>
  <fonts count="21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4F0E5"/>
      <name val="Arial"/>
      <family val="2"/>
      <charset val="1"/>
    </font>
    <font>
      <b val="true"/>
      <sz val="22"/>
      <color rgb="FF171810"/>
      <name val="Arial"/>
      <family val="2"/>
      <charset val="1"/>
    </font>
    <font>
      <sz val="12"/>
      <color rgb="FF6D6A61"/>
      <name val="Arial"/>
      <family val="2"/>
      <charset val="1"/>
    </font>
    <font>
      <b val="true"/>
      <sz val="11"/>
      <color rgb="FF171810"/>
      <name val="Arial"/>
      <family val="2"/>
      <charset val="1"/>
    </font>
    <font>
      <b val="true"/>
      <sz val="11"/>
      <color rgb="FFF4F0E5"/>
      <name val="Arial"/>
      <family val="2"/>
      <charset val="1"/>
    </font>
    <font>
      <sz val="11"/>
      <color rgb="FF171810"/>
      <name val="Arial"/>
      <family val="2"/>
      <charset val="1"/>
    </font>
    <font>
      <b val="true"/>
      <sz val="11"/>
      <color rgb="FF7A173F"/>
      <name val="Arial"/>
      <family val="2"/>
      <charset val="1"/>
    </font>
    <font>
      <b val="true"/>
      <sz val="11"/>
      <color rgb="FF1F7A50"/>
      <name val="Arial"/>
      <family val="2"/>
      <charset val="1"/>
    </font>
    <font>
      <b val="true"/>
      <sz val="11"/>
      <color rgb="FFA45D13"/>
      <name val="Arial"/>
      <family val="2"/>
      <charset val="1"/>
    </font>
    <font>
      <sz val="10"/>
      <color rgb="FF6D6A61"/>
      <name val="Arial"/>
      <family val="2"/>
      <charset val="1"/>
    </font>
    <font>
      <sz val="10"/>
      <color rgb="FF171810"/>
      <name val="Arial"/>
      <family val="2"/>
      <charset val="1"/>
    </font>
    <font>
      <b val="true"/>
      <sz val="10"/>
      <color rgb="FFC52663"/>
      <name val="Arial"/>
      <family val="2"/>
      <charset val="1"/>
    </font>
    <font>
      <sz val="11"/>
      <color rgb="FF6D6A61"/>
      <name val="Arial"/>
      <family val="2"/>
      <charset val="1"/>
    </font>
    <font>
      <b val="true"/>
      <sz val="22"/>
      <color rgb="FF1F7A50"/>
      <name val="Arial"/>
      <family val="2"/>
      <charset val="1"/>
    </font>
    <font>
      <b val="true"/>
      <sz val="12"/>
      <color rgb="FFA45D13"/>
      <name val="Arial"/>
      <family val="2"/>
      <charset val="1"/>
    </font>
    <font>
      <b val="true"/>
      <sz val="10"/>
      <color rgb="FF171810"/>
      <name val="Arial"/>
      <family val="2"/>
      <charset val="1"/>
    </font>
    <font>
      <sz val="11"/>
      <color rgb="FF7A173F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71810"/>
        <bgColor rgb="FF000000"/>
      </patternFill>
    </fill>
    <fill>
      <patternFill patternType="solid">
        <fgColor rgb="FFF4F0E5"/>
        <bgColor rgb="FFFAEEDB"/>
      </patternFill>
    </fill>
    <fill>
      <patternFill patternType="solid">
        <fgColor rgb="FFFBF9F3"/>
        <bgColor rgb="FFF4F0E5"/>
      </patternFill>
    </fill>
    <fill>
      <patternFill patternType="solid">
        <fgColor rgb="FFF8E9EF"/>
        <bgColor rgb="FFF4F0E5"/>
      </patternFill>
    </fill>
    <fill>
      <patternFill patternType="solid">
        <fgColor rgb="FFE7F3EC"/>
        <bgColor rgb="FFF4F0E5"/>
      </patternFill>
    </fill>
    <fill>
      <patternFill patternType="solid">
        <fgColor rgb="FFFAEEDB"/>
        <bgColor rgb="FFF4F0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3C6"/>
      </left>
      <right style="thin">
        <color rgb="FFD9D3C6"/>
      </right>
      <top style="thin">
        <color rgb="FFD9D3C6"/>
      </top>
      <bottom style="thin">
        <color rgb="FFD9D3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71810"/>
          <bgColor rgb="FF000000"/>
        </patternFill>
      </fill>
    </dxf>
    <dxf>
      <fill>
        <patternFill patternType="solid">
          <fgColor rgb="FFF8E9EF"/>
          <bgColor rgb="FF000000"/>
        </patternFill>
      </fill>
    </dxf>
    <dxf>
      <fill>
        <patternFill patternType="solid">
          <fgColor rgb="FF7A173F"/>
          <bgColor rgb="FF000000"/>
        </patternFill>
      </fill>
    </dxf>
    <dxf>
      <fill>
        <patternFill patternType="solid">
          <fgColor rgb="FFF4F0E5"/>
          <bgColor rgb="FF000000"/>
        </patternFill>
      </fill>
    </dxf>
    <dxf>
      <fill>
        <patternFill patternType="solid">
          <fgColor rgb="FFE7F3E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7A50"/>
          <bgColor rgb="FF000000"/>
        </patternFill>
      </fill>
    </dxf>
    <dxf>
      <font>
        <b val="1"/>
        <color rgb="FF1F7A50"/>
      </font>
      <fill>
        <patternFill>
          <bgColor rgb="FF000000"/>
        </patternFill>
      </fill>
    </dxf>
    <dxf>
      <font>
        <b val="1"/>
        <color rgb="FFA45D13"/>
      </font>
      <fill>
        <patternFill>
          <bgColor rgb="FF000000"/>
        </patternFill>
      </fill>
    </dxf>
    <dxf>
      <font>
        <b val="1"/>
        <color rgb="FFA23030"/>
      </font>
      <fill>
        <patternFill>
          <bgColor rgb="FF000000"/>
        </patternFill>
      </fill>
    </dxf>
  </dxfs>
  <colors>
    <indexedColors>
      <rgbColor rgb="FF000000"/>
      <rgbColor rgb="FFFBF9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45D13"/>
      <rgbColor rgb="FF800080"/>
      <rgbColor rgb="FF1F7A50"/>
      <rgbColor rgb="FFD9D3C6"/>
      <rgbColor rgb="FF808080"/>
      <rgbColor rgb="FF9999FF"/>
      <rgbColor rgb="FFC52663"/>
      <rgbColor rgb="FFFAEEDB"/>
      <rgbColor rgb="FFE7F3EC"/>
      <rgbColor rgb="FF7A173F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E9EF"/>
      <rgbColor rgb="FFF4F0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D6A61"/>
      <rgbColor rgb="FF969696"/>
      <rgbColor rgb="FF003366"/>
      <rgbColor rgb="FF339966"/>
      <rgbColor rgb="FF171810"/>
      <rgbColor rgb="FF333300"/>
      <rgbColor rgb="FFA2303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6" min="1" style="0" width="18.83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40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42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34" hidden="false" customHeight="true" outlineLevel="0" collapsed="false">
      <c r="A4" s="4" t="s">
        <v>3</v>
      </c>
      <c r="B4" s="4"/>
      <c r="C4" s="4"/>
      <c r="D4" s="4"/>
      <c r="E4" s="4"/>
      <c r="F4" s="4"/>
    </row>
    <row r="5" customFormat="false" ht="8" hidden="false" customHeight="true" outlineLevel="0" collapsed="false"/>
    <row r="6" customFormat="false" ht="24" hidden="false" customHeight="true" outlineLevel="0" collapsed="false">
      <c r="A6" s="5" t="s">
        <v>4</v>
      </c>
      <c r="B6" s="5"/>
      <c r="C6" s="5" t="s">
        <v>5</v>
      </c>
      <c r="D6" s="5"/>
      <c r="E6" s="5" t="s">
        <v>6</v>
      </c>
      <c r="F6" s="5"/>
    </row>
    <row r="7" customFormat="false" ht="48" hidden="false" customHeight="true" outlineLevel="0" collapsed="false">
      <c r="A7" s="6" t="s">
        <v>7</v>
      </c>
      <c r="B7" s="6"/>
      <c r="C7" s="6" t="s">
        <v>8</v>
      </c>
      <c r="D7" s="6"/>
      <c r="E7" s="6" t="s">
        <v>9</v>
      </c>
      <c r="F7" s="6"/>
    </row>
    <row r="8" customFormat="false" ht="8" hidden="false" customHeight="true" outlineLevel="0" collapsed="false"/>
    <row r="9" customFormat="false" ht="34" hidden="false" customHeight="true" outlineLevel="0" collapsed="false">
      <c r="A9" s="1" t="s">
        <v>10</v>
      </c>
      <c r="B9" s="1"/>
      <c r="C9" s="1"/>
      <c r="D9" s="1"/>
      <c r="E9" s="1"/>
      <c r="F9" s="1"/>
    </row>
    <row r="10" customFormat="false" ht="24" hidden="false" customHeight="true" outlineLevel="0" collapsed="false">
      <c r="A10" s="7" t="s">
        <v>11</v>
      </c>
      <c r="B10" s="7"/>
      <c r="C10" s="8" t="s">
        <v>12</v>
      </c>
      <c r="D10" s="8"/>
      <c r="E10" s="9" t="s">
        <v>13</v>
      </c>
      <c r="F10" s="9"/>
    </row>
    <row r="11" customFormat="false" ht="48" hidden="false" customHeight="true" outlineLevel="0" collapsed="false">
      <c r="A11" s="7" t="s">
        <v>14</v>
      </c>
      <c r="B11" s="7"/>
      <c r="C11" s="8" t="s">
        <v>15</v>
      </c>
      <c r="D11" s="8"/>
      <c r="E11" s="9" t="s">
        <v>16</v>
      </c>
      <c r="F11" s="9"/>
    </row>
    <row r="12" customFormat="false" ht="8" hidden="false" customHeight="true" outlineLevel="0" collapsed="false"/>
    <row r="13" customFormat="false" ht="34" hidden="false" customHeight="true" outlineLevel="0" collapsed="false">
      <c r="A13" s="1" t="s">
        <v>17</v>
      </c>
      <c r="B13" s="1"/>
      <c r="C13" s="1"/>
      <c r="D13" s="1"/>
      <c r="E13" s="1"/>
      <c r="F13" s="1"/>
    </row>
    <row r="14" customFormat="false" ht="34" hidden="false" customHeight="true" outlineLevel="0" collapsed="false">
      <c r="A14" s="10" t="s">
        <v>18</v>
      </c>
      <c r="B14" s="10"/>
      <c r="C14" s="10"/>
      <c r="D14" s="10"/>
      <c r="E14" s="10"/>
      <c r="F14" s="10"/>
    </row>
    <row r="15" customFormat="false" ht="34" hidden="false" customHeight="true" outlineLevel="0" collapsed="false">
      <c r="A15" s="10" t="s">
        <v>19</v>
      </c>
      <c r="B15" s="10"/>
      <c r="C15" s="10"/>
      <c r="D15" s="10"/>
      <c r="E15" s="10"/>
      <c r="F15" s="10"/>
    </row>
    <row r="16" customFormat="false" ht="8" hidden="false" customHeight="true" outlineLevel="0" collapsed="false">
      <c r="A16" s="11"/>
      <c r="B16" s="11"/>
      <c r="C16" s="11"/>
      <c r="D16" s="11"/>
      <c r="E16" s="11"/>
      <c r="F16" s="11"/>
    </row>
    <row r="17" customFormat="false" ht="34" hidden="false" customHeight="true" outlineLevel="0" collapsed="false">
      <c r="A17" s="1" t="s">
        <v>20</v>
      </c>
      <c r="B17" s="1"/>
      <c r="C17" s="1"/>
      <c r="D17" s="1"/>
      <c r="E17" s="1"/>
      <c r="F17" s="1"/>
    </row>
    <row r="18" customFormat="false" ht="46" hidden="false" customHeight="true" outlineLevel="0" collapsed="false">
      <c r="A18" s="12" t="s">
        <v>21</v>
      </c>
      <c r="B18" s="12"/>
      <c r="C18" s="12"/>
      <c r="D18" s="12"/>
      <c r="E18" s="12"/>
      <c r="F18" s="12"/>
    </row>
    <row r="19" customFormat="false" ht="34" hidden="false" customHeight="true" outlineLevel="0" collapsed="false">
      <c r="A19" s="13" t="s">
        <v>22</v>
      </c>
      <c r="B19" s="13"/>
      <c r="C19" s="13"/>
      <c r="D19" s="13"/>
      <c r="E19" s="13"/>
      <c r="F19" s="13"/>
    </row>
  </sheetData>
  <mergeCells count="24">
    <mergeCell ref="A1:F1"/>
    <mergeCell ref="A2:F2"/>
    <mergeCell ref="A3:F3"/>
    <mergeCell ref="A4:F4"/>
    <mergeCell ref="A6:B6"/>
    <mergeCell ref="C6:D6"/>
    <mergeCell ref="E6:F6"/>
    <mergeCell ref="A7:B7"/>
    <mergeCell ref="C7:D7"/>
    <mergeCell ref="E7:F7"/>
    <mergeCell ref="A9:F9"/>
    <mergeCell ref="A10:B10"/>
    <mergeCell ref="C10:D10"/>
    <mergeCell ref="E10:F10"/>
    <mergeCell ref="A11:B11"/>
    <mergeCell ref="C11:D11"/>
    <mergeCell ref="E11:F11"/>
    <mergeCell ref="A13:F13"/>
    <mergeCell ref="A14:F14"/>
    <mergeCell ref="A15:F15"/>
    <mergeCell ref="A16:F16"/>
    <mergeCell ref="A17:F17"/>
    <mergeCell ref="A18:F18"/>
    <mergeCell ref="A19:F19"/>
  </mergeCells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9" min="1" style="0" width="14.84"/>
  </cols>
  <sheetData>
    <row r="1" customFormat="false" ht="24" hidden="false" customHeight="true" outlineLevel="0" collapsed="false">
      <c r="A1" s="1" t="s">
        <v>23</v>
      </c>
      <c r="B1" s="1"/>
      <c r="C1" s="1"/>
      <c r="D1" s="1"/>
      <c r="E1" s="1"/>
      <c r="F1" s="1"/>
      <c r="G1" s="1"/>
      <c r="H1" s="1"/>
      <c r="I1" s="1"/>
    </row>
    <row r="2" customFormat="false" ht="40" hidden="false" customHeight="true" outlineLevel="0" collapsed="false">
      <c r="A2" s="2" t="s">
        <v>24</v>
      </c>
      <c r="B2" s="2"/>
      <c r="C2" s="2"/>
      <c r="D2" s="2"/>
      <c r="E2" s="2"/>
      <c r="F2" s="2"/>
      <c r="G2" s="2"/>
      <c r="H2" s="2"/>
      <c r="I2" s="2"/>
    </row>
    <row r="3" customFormat="false" ht="34" hidden="false" customHeight="true" outlineLevel="0" collapsed="false">
      <c r="A3" s="14" t="s">
        <v>25</v>
      </c>
      <c r="B3" s="14"/>
      <c r="C3" s="14"/>
      <c r="D3" s="14"/>
      <c r="E3" s="14"/>
      <c r="F3" s="14"/>
      <c r="G3" s="14"/>
      <c r="H3" s="14"/>
      <c r="I3" s="14"/>
    </row>
    <row r="4" customFormat="false" ht="15" hidden="false" customHeight="false" outlineLevel="0" collapsed="false"/>
    <row r="5" customFormat="false" ht="26" hidden="false" customHeight="true" outlineLevel="0" collapsed="false">
      <c r="A5" s="1" t="s">
        <v>26</v>
      </c>
      <c r="B5" s="1"/>
      <c r="C5" s="1"/>
      <c r="D5" s="1" t="s">
        <v>27</v>
      </c>
      <c r="E5" s="1"/>
      <c r="F5" s="1"/>
      <c r="G5" s="1" t="s">
        <v>28</v>
      </c>
      <c r="H5" s="1"/>
      <c r="I5" s="1"/>
    </row>
    <row r="6" customFormat="false" ht="44" hidden="false" customHeight="true" outlineLevel="0" collapsed="false">
      <c r="A6" s="15" t="n">
        <f aca="false">COUNTIF(Combos!$K$2:$K$21,"Pronto para testar")</f>
        <v>3</v>
      </c>
      <c r="B6" s="15"/>
      <c r="C6" s="15"/>
      <c r="D6" s="16" t="n">
        <f aca="false">Combos!$I$22</f>
        <v>3961</v>
      </c>
      <c r="E6" s="16"/>
      <c r="F6" s="16"/>
      <c r="G6" s="16" t="n">
        <f aca="false">Combos!$J$22</f>
        <v>2749</v>
      </c>
      <c r="H6" s="16"/>
      <c r="I6" s="16"/>
    </row>
    <row r="7" customFormat="false" ht="34" hidden="false" customHeight="true" outlineLevel="0" collapsed="false">
      <c r="A7" s="17" t="s">
        <v>29</v>
      </c>
      <c r="B7" s="17"/>
      <c r="C7" s="17"/>
      <c r="D7" s="17" t="s">
        <v>30</v>
      </c>
      <c r="E7" s="17"/>
      <c r="F7" s="17"/>
      <c r="G7" s="17" t="s">
        <v>31</v>
      </c>
      <c r="H7" s="17"/>
      <c r="I7" s="17"/>
    </row>
    <row r="8" customFormat="false" ht="15" hidden="false" customHeight="false" outlineLevel="0" collapsed="false"/>
    <row r="9" customFormat="false" ht="15" hidden="false" customHeight="false" outlineLevel="0" collapsed="false"/>
    <row r="10" customFormat="false" ht="26" hidden="false" customHeight="true" outlineLevel="0" collapsed="false">
      <c r="A10" s="1" t="s">
        <v>32</v>
      </c>
      <c r="B10" s="1"/>
      <c r="C10" s="1"/>
      <c r="D10" s="1"/>
      <c r="E10" s="1"/>
      <c r="F10" s="1"/>
      <c r="G10" s="1"/>
      <c r="H10" s="1"/>
      <c r="I10" s="1"/>
    </row>
    <row r="11" customFormat="false" ht="42" hidden="false" customHeight="true" outlineLevel="0" collapsed="false">
      <c r="A11" s="18" t="s">
        <v>33</v>
      </c>
      <c r="B11" s="18"/>
      <c r="C11" s="18"/>
      <c r="D11" s="18"/>
      <c r="E11" s="18"/>
      <c r="F11" s="18"/>
      <c r="G11" s="18"/>
      <c r="H11" s="18"/>
      <c r="I11" s="18"/>
    </row>
    <row r="12" customFormat="false" ht="15" hidden="false" customHeight="false" outlineLevel="0" collapsed="false"/>
    <row r="13" customFormat="false" ht="15" hidden="false" customHeight="false" outlineLevel="0" collapsed="false"/>
    <row r="14" customFormat="false" ht="24" hidden="false" customHeight="true" outlineLevel="0" collapsed="false">
      <c r="A14" s="19" t="s">
        <v>34</v>
      </c>
      <c r="B14" s="19"/>
      <c r="C14" s="19"/>
      <c r="D14" s="19"/>
      <c r="E14" s="19"/>
      <c r="F14" s="19"/>
      <c r="G14" s="19"/>
      <c r="H14" s="19"/>
      <c r="I14" s="19"/>
    </row>
    <row r="15" customFormat="false" ht="24" hidden="false" customHeight="true" outlineLevel="0" collapsed="false">
      <c r="A15" s="10" t="s">
        <v>35</v>
      </c>
      <c r="B15" s="10"/>
      <c r="C15" s="10"/>
      <c r="D15" s="10"/>
      <c r="E15" s="10"/>
      <c r="F15" s="10"/>
      <c r="G15" s="10"/>
      <c r="H15" s="10"/>
      <c r="I15" s="10"/>
    </row>
    <row r="16" customFormat="false" ht="24" hidden="false" customHeight="true" outlineLevel="0" collapsed="false">
      <c r="A16" s="10" t="s">
        <v>36</v>
      </c>
      <c r="B16" s="10"/>
      <c r="C16" s="10"/>
      <c r="D16" s="10"/>
      <c r="E16" s="10"/>
      <c r="F16" s="10"/>
      <c r="G16" s="10"/>
      <c r="H16" s="10"/>
      <c r="I16" s="10"/>
    </row>
    <row r="17" customFormat="false" ht="24" hidden="false" customHeight="true" outlineLevel="0" collapsed="false">
      <c r="A17" s="10" t="s">
        <v>37</v>
      </c>
      <c r="B17" s="10"/>
      <c r="C17" s="10"/>
      <c r="D17" s="10"/>
      <c r="E17" s="10"/>
      <c r="F17" s="10"/>
      <c r="G17" s="10"/>
      <c r="H17" s="10"/>
      <c r="I17" s="10"/>
    </row>
  </sheetData>
  <mergeCells count="18">
    <mergeCell ref="A1:I1"/>
    <mergeCell ref="A2:I2"/>
    <mergeCell ref="A3:I3"/>
    <mergeCell ref="A5:C5"/>
    <mergeCell ref="D5:F5"/>
    <mergeCell ref="G5:I5"/>
    <mergeCell ref="A6:C6"/>
    <mergeCell ref="D6:F6"/>
    <mergeCell ref="G6:I6"/>
    <mergeCell ref="A7:C7"/>
    <mergeCell ref="D7:F7"/>
    <mergeCell ref="G7:I7"/>
    <mergeCell ref="A10:I10"/>
    <mergeCell ref="A11:I11"/>
    <mergeCell ref="A14:I14"/>
    <mergeCell ref="A15:I15"/>
    <mergeCell ref="A16:I16"/>
    <mergeCell ref="A17:I17"/>
  </mergeCells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28.83"/>
    <col collapsed="false" customWidth="true" hidden="false" outlineLevel="0" max="3" min="2" style="0" width="22.84"/>
    <col collapsed="false" customWidth="true" hidden="false" outlineLevel="0" max="4" min="4" style="0" width="16.84"/>
    <col collapsed="false" customWidth="true" hidden="false" outlineLevel="0" max="5" min="5" style="0" width="24.84"/>
    <col collapsed="false" customWidth="true" hidden="false" outlineLevel="0" max="6" min="6" style="0" width="22.84"/>
    <col collapsed="false" customWidth="true" hidden="false" outlineLevel="0" max="7" min="7" style="0" width="18.83"/>
    <col collapsed="false" customWidth="true" hidden="false" outlineLevel="0" max="8" min="8" style="0" width="20.84"/>
    <col collapsed="false" customWidth="true" hidden="false" outlineLevel="0" max="10" min="9" style="0" width="26.84"/>
    <col collapsed="false" customWidth="true" hidden="false" outlineLevel="0" max="11" min="11" style="0" width="30.84"/>
  </cols>
  <sheetData>
    <row r="1" customFormat="false" ht="30" hidden="false" customHeight="true" outlineLevel="0" collapsed="false">
      <c r="A1" s="20" t="s">
        <v>38</v>
      </c>
      <c r="B1" s="20" t="s">
        <v>39</v>
      </c>
      <c r="C1" s="20" t="s">
        <v>40</v>
      </c>
      <c r="D1" s="20" t="s">
        <v>41</v>
      </c>
      <c r="E1" s="20" t="s">
        <v>42</v>
      </c>
      <c r="F1" s="20" t="s">
        <v>43</v>
      </c>
      <c r="G1" s="20" t="s">
        <v>44</v>
      </c>
      <c r="H1" s="20" t="s">
        <v>45</v>
      </c>
      <c r="I1" s="20" t="s">
        <v>46</v>
      </c>
      <c r="J1" s="20" t="s">
        <v>47</v>
      </c>
      <c r="K1" s="20" t="s">
        <v>48</v>
      </c>
    </row>
    <row r="2" customFormat="false" ht="34" hidden="false" customHeight="true" outlineLevel="0" collapsed="false">
      <c r="A2" s="21" t="s">
        <v>49</v>
      </c>
      <c r="B2" s="22" t="n">
        <v>105</v>
      </c>
      <c r="C2" s="22" t="n">
        <v>95</v>
      </c>
      <c r="D2" s="23" t="n">
        <f aca="false">IFERROR(1-C2/B2,0)</f>
        <v>0.0952380952380952</v>
      </c>
      <c r="E2" s="22" t="n">
        <v>30</v>
      </c>
      <c r="F2" s="24" t="n">
        <f aca="false">IF(A2="","",C2-E2)</f>
        <v>65</v>
      </c>
      <c r="G2" s="23" t="n">
        <f aca="false">IFERROR(F2/C2,0)</f>
        <v>0.68421052631579</v>
      </c>
      <c r="H2" s="21" t="n">
        <v>20</v>
      </c>
      <c r="I2" s="24" t="n">
        <f aca="false">IF(A2="","",C2*H2)</f>
        <v>1900</v>
      </c>
      <c r="J2" s="24" t="n">
        <f aca="false">IF(A2="","",F2*H2)</f>
        <v>1300</v>
      </c>
      <c r="K2" s="25" t="str">
        <f aca="false">IF(A2="","",IF(AND(C2&gt;0,F2&gt;0,H2&gt;0),"Pronto para testar","Revisar preço, custo ou volume"))</f>
        <v>Pronto para testar</v>
      </c>
    </row>
    <row r="3" customFormat="false" ht="34" hidden="false" customHeight="true" outlineLevel="0" collapsed="false">
      <c r="A3" s="21" t="s">
        <v>50</v>
      </c>
      <c r="B3" s="22" t="n">
        <v>80</v>
      </c>
      <c r="C3" s="22" t="n">
        <v>75</v>
      </c>
      <c r="D3" s="23" t="n">
        <f aca="false">IFERROR(1-C3/B3,0)</f>
        <v>0.0625</v>
      </c>
      <c r="E3" s="22" t="n">
        <v>20</v>
      </c>
      <c r="F3" s="24" t="n">
        <f aca="false">IF(A3="","",C3-E3)</f>
        <v>55</v>
      </c>
      <c r="G3" s="23" t="n">
        <f aca="false">IFERROR(F3/C3,0)</f>
        <v>0.733333333333333</v>
      </c>
      <c r="H3" s="21" t="n">
        <v>15</v>
      </c>
      <c r="I3" s="24" t="n">
        <f aca="false">IF(A3="","",C3*H3)</f>
        <v>1125</v>
      </c>
      <c r="J3" s="24" t="n">
        <f aca="false">IF(A3="","",F3*H3)</f>
        <v>825</v>
      </c>
      <c r="K3" s="25" t="str">
        <f aca="false">IF(A3="","",IF(AND(C3&gt;0,F3&gt;0,H3&gt;0),"Pronto para testar","Revisar preço, custo ou volume"))</f>
        <v>Pronto para testar</v>
      </c>
    </row>
    <row r="4" customFormat="false" ht="34" hidden="false" customHeight="true" outlineLevel="0" collapsed="false">
      <c r="A4" s="21" t="s">
        <v>51</v>
      </c>
      <c r="B4" s="22" t="n">
        <v>85</v>
      </c>
      <c r="C4" s="22" t="n">
        <v>78</v>
      </c>
      <c r="D4" s="23" t="n">
        <f aca="false">IFERROR(1-C4/B4,0)</f>
        <v>0.0823529411764706</v>
      </c>
      <c r="E4" s="22" t="n">
        <v>26</v>
      </c>
      <c r="F4" s="24" t="n">
        <f aca="false">IF(A4="","",C4-E4)</f>
        <v>52</v>
      </c>
      <c r="G4" s="23" t="n">
        <f aca="false">IFERROR(F4/C4,0)</f>
        <v>0.666666666666667</v>
      </c>
      <c r="H4" s="21" t="n">
        <v>12</v>
      </c>
      <c r="I4" s="24" t="n">
        <f aca="false">IF(A4="","",C4*H4)</f>
        <v>936</v>
      </c>
      <c r="J4" s="24" t="n">
        <f aca="false">IF(A4="","",F4*H4)</f>
        <v>624</v>
      </c>
      <c r="K4" s="25" t="str">
        <f aca="false">IF(A4="","",IF(AND(C4&gt;0,F4&gt;0,H4&gt;0),"Pronto para testar","Revisar preço, custo ou volume"))</f>
        <v>Pronto para testar</v>
      </c>
    </row>
    <row r="5" customFormat="false" ht="34" hidden="false" customHeight="true" outlineLevel="0" collapsed="false">
      <c r="A5" s="21"/>
      <c r="B5" s="22"/>
      <c r="C5" s="22"/>
      <c r="D5" s="23" t="n">
        <f aca="false">IFERROR(1-C5/B5,0)</f>
        <v>0</v>
      </c>
      <c r="E5" s="22"/>
      <c r="F5" s="24" t="str">
        <f aca="false">IF(A5="","",C5-E5)</f>
        <v/>
      </c>
      <c r="G5" s="23" t="n">
        <f aca="false">IFERROR(F5/C5,0)</f>
        <v>0</v>
      </c>
      <c r="H5" s="21"/>
      <c r="I5" s="24" t="str">
        <f aca="false">IF(A5="","",C5*H5)</f>
        <v/>
      </c>
      <c r="J5" s="24" t="str">
        <f aca="false">IF(A5="","",F5*H5)</f>
        <v/>
      </c>
      <c r="K5" s="25" t="str">
        <f aca="false">IF(A5="","",IF(AND(C5&gt;0,F5&gt;0,H5&gt;0),"Pronto para testar","Revisar preço, custo ou volume"))</f>
        <v/>
      </c>
    </row>
    <row r="6" customFormat="false" ht="34" hidden="false" customHeight="true" outlineLevel="0" collapsed="false">
      <c r="A6" s="21"/>
      <c r="B6" s="22"/>
      <c r="C6" s="22"/>
      <c r="D6" s="23" t="n">
        <f aca="false">IFERROR(1-C6/B6,0)</f>
        <v>0</v>
      </c>
      <c r="E6" s="22"/>
      <c r="F6" s="24" t="str">
        <f aca="false">IF(A6="","",C6-E6)</f>
        <v/>
      </c>
      <c r="G6" s="23" t="n">
        <f aca="false">IFERROR(F6/C6,0)</f>
        <v>0</v>
      </c>
      <c r="H6" s="21"/>
      <c r="I6" s="24" t="str">
        <f aca="false">IF(A6="","",C6*H6)</f>
        <v/>
      </c>
      <c r="J6" s="24" t="str">
        <f aca="false">IF(A6="","",F6*H6)</f>
        <v/>
      </c>
      <c r="K6" s="25" t="str">
        <f aca="false">IF(A6="","",IF(AND(C6&gt;0,F6&gt;0,H6&gt;0),"Pronto para testar","Revisar preço, custo ou volume"))</f>
        <v/>
      </c>
    </row>
    <row r="7" customFormat="false" ht="34" hidden="false" customHeight="true" outlineLevel="0" collapsed="false">
      <c r="A7" s="21"/>
      <c r="B7" s="22"/>
      <c r="C7" s="22"/>
      <c r="D7" s="23" t="n">
        <f aca="false">IFERROR(1-C7/B7,0)</f>
        <v>0</v>
      </c>
      <c r="E7" s="22"/>
      <c r="F7" s="24" t="str">
        <f aca="false">IF(A7="","",C7-E7)</f>
        <v/>
      </c>
      <c r="G7" s="23" t="n">
        <f aca="false">IFERROR(F7/C7,0)</f>
        <v>0</v>
      </c>
      <c r="H7" s="21"/>
      <c r="I7" s="24" t="str">
        <f aca="false">IF(A7="","",C7*H7)</f>
        <v/>
      </c>
      <c r="J7" s="24" t="str">
        <f aca="false">IF(A7="","",F7*H7)</f>
        <v/>
      </c>
      <c r="K7" s="25" t="str">
        <f aca="false">IF(A7="","",IF(AND(C7&gt;0,F7&gt;0,H7&gt;0),"Pronto para testar","Revisar preço, custo ou volume"))</f>
        <v/>
      </c>
    </row>
    <row r="8" customFormat="false" ht="34" hidden="false" customHeight="true" outlineLevel="0" collapsed="false">
      <c r="A8" s="21"/>
      <c r="B8" s="22"/>
      <c r="C8" s="22"/>
      <c r="D8" s="23" t="n">
        <f aca="false">IFERROR(1-C8/B8,0)</f>
        <v>0</v>
      </c>
      <c r="E8" s="22"/>
      <c r="F8" s="24" t="str">
        <f aca="false">IF(A8="","",C8-E8)</f>
        <v/>
      </c>
      <c r="G8" s="23" t="n">
        <f aca="false">IFERROR(F8/C8,0)</f>
        <v>0</v>
      </c>
      <c r="H8" s="21"/>
      <c r="I8" s="24" t="str">
        <f aca="false">IF(A8="","",C8*H8)</f>
        <v/>
      </c>
      <c r="J8" s="24" t="str">
        <f aca="false">IF(A8="","",F8*H8)</f>
        <v/>
      </c>
      <c r="K8" s="25" t="str">
        <f aca="false">IF(A8="","",IF(AND(C8&gt;0,F8&gt;0,H8&gt;0),"Pronto para testar","Revisar preço, custo ou volume"))</f>
        <v/>
      </c>
    </row>
    <row r="9" customFormat="false" ht="34" hidden="false" customHeight="true" outlineLevel="0" collapsed="false">
      <c r="A9" s="21"/>
      <c r="B9" s="22"/>
      <c r="C9" s="22"/>
      <c r="D9" s="23" t="n">
        <f aca="false">IFERROR(1-C9/B9,0)</f>
        <v>0</v>
      </c>
      <c r="E9" s="22"/>
      <c r="F9" s="24" t="str">
        <f aca="false">IF(A9="","",C9-E9)</f>
        <v/>
      </c>
      <c r="G9" s="23" t="n">
        <f aca="false">IFERROR(F9/C9,0)</f>
        <v>0</v>
      </c>
      <c r="H9" s="21"/>
      <c r="I9" s="24" t="str">
        <f aca="false">IF(A9="","",C9*H9)</f>
        <v/>
      </c>
      <c r="J9" s="24" t="str">
        <f aca="false">IF(A9="","",F9*H9)</f>
        <v/>
      </c>
      <c r="K9" s="25" t="str">
        <f aca="false">IF(A9="","",IF(AND(C9&gt;0,F9&gt;0,H9&gt;0),"Pronto para testar","Revisar preço, custo ou volume"))</f>
        <v/>
      </c>
    </row>
    <row r="10" customFormat="false" ht="34" hidden="false" customHeight="true" outlineLevel="0" collapsed="false">
      <c r="A10" s="21"/>
      <c r="B10" s="22"/>
      <c r="C10" s="22"/>
      <c r="D10" s="23" t="n">
        <f aca="false">IFERROR(1-C10/B10,0)</f>
        <v>0</v>
      </c>
      <c r="E10" s="22"/>
      <c r="F10" s="24" t="str">
        <f aca="false">IF(A10="","",C10-E10)</f>
        <v/>
      </c>
      <c r="G10" s="23" t="n">
        <f aca="false">IFERROR(F10/C10,0)</f>
        <v>0</v>
      </c>
      <c r="H10" s="21"/>
      <c r="I10" s="24" t="str">
        <f aca="false">IF(A10="","",C10*H10)</f>
        <v/>
      </c>
      <c r="J10" s="24" t="str">
        <f aca="false">IF(A10="","",F10*H10)</f>
        <v/>
      </c>
      <c r="K10" s="25" t="str">
        <f aca="false">IF(A10="","",IF(AND(C10&gt;0,F10&gt;0,H10&gt;0),"Pronto para testar","Revisar preço, custo ou volume"))</f>
        <v/>
      </c>
    </row>
    <row r="11" customFormat="false" ht="34" hidden="false" customHeight="true" outlineLevel="0" collapsed="false">
      <c r="A11" s="21"/>
      <c r="B11" s="22"/>
      <c r="C11" s="22"/>
      <c r="D11" s="23" t="n">
        <f aca="false">IFERROR(1-C11/B11,0)</f>
        <v>0</v>
      </c>
      <c r="E11" s="22"/>
      <c r="F11" s="24" t="str">
        <f aca="false">IF(A11="","",C11-E11)</f>
        <v/>
      </c>
      <c r="G11" s="23" t="n">
        <f aca="false">IFERROR(F11/C11,0)</f>
        <v>0</v>
      </c>
      <c r="H11" s="21"/>
      <c r="I11" s="24" t="str">
        <f aca="false">IF(A11="","",C11*H11)</f>
        <v/>
      </c>
      <c r="J11" s="24" t="str">
        <f aca="false">IF(A11="","",F11*H11)</f>
        <v/>
      </c>
      <c r="K11" s="25" t="str">
        <f aca="false">IF(A11="","",IF(AND(C11&gt;0,F11&gt;0,H11&gt;0),"Pronto para testar","Revisar preço, custo ou volume"))</f>
        <v/>
      </c>
    </row>
    <row r="12" customFormat="false" ht="34" hidden="false" customHeight="true" outlineLevel="0" collapsed="false">
      <c r="A12" s="21"/>
      <c r="B12" s="22"/>
      <c r="C12" s="22"/>
      <c r="D12" s="23" t="n">
        <f aca="false">IFERROR(1-C12/B12,0)</f>
        <v>0</v>
      </c>
      <c r="E12" s="22"/>
      <c r="F12" s="24" t="str">
        <f aca="false">IF(A12="","",C12-E12)</f>
        <v/>
      </c>
      <c r="G12" s="23" t="n">
        <f aca="false">IFERROR(F12/C12,0)</f>
        <v>0</v>
      </c>
      <c r="H12" s="21"/>
      <c r="I12" s="24" t="str">
        <f aca="false">IF(A12="","",C12*H12)</f>
        <v/>
      </c>
      <c r="J12" s="24" t="str">
        <f aca="false">IF(A12="","",F12*H12)</f>
        <v/>
      </c>
      <c r="K12" s="25" t="str">
        <f aca="false">IF(A12="","",IF(AND(C12&gt;0,F12&gt;0,H12&gt;0),"Pronto para testar","Revisar preço, custo ou volume"))</f>
        <v/>
      </c>
    </row>
    <row r="13" customFormat="false" ht="34" hidden="false" customHeight="true" outlineLevel="0" collapsed="false">
      <c r="A13" s="21"/>
      <c r="B13" s="22"/>
      <c r="C13" s="22"/>
      <c r="D13" s="23" t="n">
        <f aca="false">IFERROR(1-C13/B13,0)</f>
        <v>0</v>
      </c>
      <c r="E13" s="22"/>
      <c r="F13" s="24" t="str">
        <f aca="false">IF(A13="","",C13-E13)</f>
        <v/>
      </c>
      <c r="G13" s="23" t="n">
        <f aca="false">IFERROR(F13/C13,0)</f>
        <v>0</v>
      </c>
      <c r="H13" s="21"/>
      <c r="I13" s="24" t="str">
        <f aca="false">IF(A13="","",C13*H13)</f>
        <v/>
      </c>
      <c r="J13" s="24" t="str">
        <f aca="false">IF(A13="","",F13*H13)</f>
        <v/>
      </c>
      <c r="K13" s="25" t="str">
        <f aca="false">IF(A13="","",IF(AND(C13&gt;0,F13&gt;0,H13&gt;0),"Pronto para testar","Revisar preço, custo ou volume"))</f>
        <v/>
      </c>
    </row>
    <row r="14" customFormat="false" ht="34" hidden="false" customHeight="true" outlineLevel="0" collapsed="false">
      <c r="A14" s="21"/>
      <c r="B14" s="22"/>
      <c r="C14" s="22"/>
      <c r="D14" s="23" t="n">
        <f aca="false">IFERROR(1-C14/B14,0)</f>
        <v>0</v>
      </c>
      <c r="E14" s="22"/>
      <c r="F14" s="24" t="str">
        <f aca="false">IF(A14="","",C14-E14)</f>
        <v/>
      </c>
      <c r="G14" s="23" t="n">
        <f aca="false">IFERROR(F14/C14,0)</f>
        <v>0</v>
      </c>
      <c r="H14" s="21"/>
      <c r="I14" s="24" t="str">
        <f aca="false">IF(A14="","",C14*H14)</f>
        <v/>
      </c>
      <c r="J14" s="24" t="str">
        <f aca="false">IF(A14="","",F14*H14)</f>
        <v/>
      </c>
      <c r="K14" s="25" t="str">
        <f aca="false">IF(A14="","",IF(AND(C14&gt;0,F14&gt;0,H14&gt;0),"Pronto para testar","Revisar preço, custo ou volume"))</f>
        <v/>
      </c>
    </row>
    <row r="15" customFormat="false" ht="34" hidden="false" customHeight="true" outlineLevel="0" collapsed="false">
      <c r="A15" s="21"/>
      <c r="B15" s="22"/>
      <c r="C15" s="22"/>
      <c r="D15" s="23" t="n">
        <f aca="false">IFERROR(1-C15/B15,0)</f>
        <v>0</v>
      </c>
      <c r="E15" s="22"/>
      <c r="F15" s="24" t="str">
        <f aca="false">IF(A15="","",C15-E15)</f>
        <v/>
      </c>
      <c r="G15" s="23" t="n">
        <f aca="false">IFERROR(F15/C15,0)</f>
        <v>0</v>
      </c>
      <c r="H15" s="21"/>
      <c r="I15" s="24" t="str">
        <f aca="false">IF(A15="","",C15*H15)</f>
        <v/>
      </c>
      <c r="J15" s="24" t="str">
        <f aca="false">IF(A15="","",F15*H15)</f>
        <v/>
      </c>
      <c r="K15" s="25" t="str">
        <f aca="false">IF(A15="","",IF(AND(C15&gt;0,F15&gt;0,H15&gt;0),"Pronto para testar","Revisar preço, custo ou volume"))</f>
        <v/>
      </c>
    </row>
    <row r="16" customFormat="false" ht="34" hidden="false" customHeight="true" outlineLevel="0" collapsed="false">
      <c r="A16" s="21"/>
      <c r="B16" s="22"/>
      <c r="C16" s="22"/>
      <c r="D16" s="23" t="n">
        <f aca="false">IFERROR(1-C16/B16,0)</f>
        <v>0</v>
      </c>
      <c r="E16" s="22"/>
      <c r="F16" s="24" t="str">
        <f aca="false">IF(A16="","",C16-E16)</f>
        <v/>
      </c>
      <c r="G16" s="23" t="n">
        <f aca="false">IFERROR(F16/C16,0)</f>
        <v>0</v>
      </c>
      <c r="H16" s="21"/>
      <c r="I16" s="24" t="str">
        <f aca="false">IF(A16="","",C16*H16)</f>
        <v/>
      </c>
      <c r="J16" s="24" t="str">
        <f aca="false">IF(A16="","",F16*H16)</f>
        <v/>
      </c>
      <c r="K16" s="25" t="str">
        <f aca="false">IF(A16="","",IF(AND(C16&gt;0,F16&gt;0,H16&gt;0),"Pronto para testar","Revisar preço, custo ou volume"))</f>
        <v/>
      </c>
    </row>
    <row r="17" customFormat="false" ht="34" hidden="false" customHeight="true" outlineLevel="0" collapsed="false">
      <c r="A17" s="21"/>
      <c r="B17" s="22"/>
      <c r="C17" s="22"/>
      <c r="D17" s="23" t="n">
        <f aca="false">IFERROR(1-C17/B17,0)</f>
        <v>0</v>
      </c>
      <c r="E17" s="22"/>
      <c r="F17" s="24" t="str">
        <f aca="false">IF(A17="","",C17-E17)</f>
        <v/>
      </c>
      <c r="G17" s="23" t="n">
        <f aca="false">IFERROR(F17/C17,0)</f>
        <v>0</v>
      </c>
      <c r="H17" s="21"/>
      <c r="I17" s="24" t="str">
        <f aca="false">IF(A17="","",C17*H17)</f>
        <v/>
      </c>
      <c r="J17" s="24" t="str">
        <f aca="false">IF(A17="","",F17*H17)</f>
        <v/>
      </c>
      <c r="K17" s="25" t="str">
        <f aca="false">IF(A17="","",IF(AND(C17&gt;0,F17&gt;0,H17&gt;0),"Pronto para testar","Revisar preço, custo ou volume"))</f>
        <v/>
      </c>
    </row>
    <row r="18" customFormat="false" ht="34" hidden="false" customHeight="true" outlineLevel="0" collapsed="false">
      <c r="A18" s="21"/>
      <c r="B18" s="22"/>
      <c r="C18" s="22"/>
      <c r="D18" s="23" t="n">
        <f aca="false">IFERROR(1-C18/B18,0)</f>
        <v>0</v>
      </c>
      <c r="E18" s="22"/>
      <c r="F18" s="24" t="str">
        <f aca="false">IF(A18="","",C18-E18)</f>
        <v/>
      </c>
      <c r="G18" s="23" t="n">
        <f aca="false">IFERROR(F18/C18,0)</f>
        <v>0</v>
      </c>
      <c r="H18" s="21"/>
      <c r="I18" s="24" t="str">
        <f aca="false">IF(A18="","",C18*H18)</f>
        <v/>
      </c>
      <c r="J18" s="24" t="str">
        <f aca="false">IF(A18="","",F18*H18)</f>
        <v/>
      </c>
      <c r="K18" s="25" t="str">
        <f aca="false">IF(A18="","",IF(AND(C18&gt;0,F18&gt;0,H18&gt;0),"Pronto para testar","Revisar preço, custo ou volume"))</f>
        <v/>
      </c>
    </row>
    <row r="19" customFormat="false" ht="34" hidden="false" customHeight="true" outlineLevel="0" collapsed="false">
      <c r="A19" s="21"/>
      <c r="B19" s="22"/>
      <c r="C19" s="22"/>
      <c r="D19" s="23" t="n">
        <f aca="false">IFERROR(1-C19/B19,0)</f>
        <v>0</v>
      </c>
      <c r="E19" s="22"/>
      <c r="F19" s="24" t="str">
        <f aca="false">IF(A19="","",C19-E19)</f>
        <v/>
      </c>
      <c r="G19" s="23" t="n">
        <f aca="false">IFERROR(F19/C19,0)</f>
        <v>0</v>
      </c>
      <c r="H19" s="21"/>
      <c r="I19" s="24" t="str">
        <f aca="false">IF(A19="","",C19*H19)</f>
        <v/>
      </c>
      <c r="J19" s="24" t="str">
        <f aca="false">IF(A19="","",F19*H19)</f>
        <v/>
      </c>
      <c r="K19" s="25" t="str">
        <f aca="false">IF(A19="","",IF(AND(C19&gt;0,F19&gt;0,H19&gt;0),"Pronto para testar","Revisar preço, custo ou volume"))</f>
        <v/>
      </c>
    </row>
    <row r="20" customFormat="false" ht="34" hidden="false" customHeight="true" outlineLevel="0" collapsed="false">
      <c r="A20" s="21"/>
      <c r="B20" s="22"/>
      <c r="C20" s="22"/>
      <c r="D20" s="23" t="n">
        <f aca="false">IFERROR(1-C20/B20,0)</f>
        <v>0</v>
      </c>
      <c r="E20" s="22"/>
      <c r="F20" s="24" t="str">
        <f aca="false">IF(A20="","",C20-E20)</f>
        <v/>
      </c>
      <c r="G20" s="23" t="n">
        <f aca="false">IFERROR(F20/C20,0)</f>
        <v>0</v>
      </c>
      <c r="H20" s="21"/>
      <c r="I20" s="24" t="str">
        <f aca="false">IF(A20="","",C20*H20)</f>
        <v/>
      </c>
      <c r="J20" s="24" t="str">
        <f aca="false">IF(A20="","",F20*H20)</f>
        <v/>
      </c>
      <c r="K20" s="25" t="str">
        <f aca="false">IF(A20="","",IF(AND(C20&gt;0,F20&gt;0,H20&gt;0),"Pronto para testar","Revisar preço, custo ou volume"))</f>
        <v/>
      </c>
    </row>
    <row r="21" customFormat="false" ht="34" hidden="false" customHeight="true" outlineLevel="0" collapsed="false">
      <c r="A21" s="21"/>
      <c r="B21" s="22"/>
      <c r="C21" s="22"/>
      <c r="D21" s="23" t="n">
        <f aca="false">IFERROR(1-C21/B21,0)</f>
        <v>0</v>
      </c>
      <c r="E21" s="22"/>
      <c r="F21" s="24" t="str">
        <f aca="false">IF(A21="","",C21-E21)</f>
        <v/>
      </c>
      <c r="G21" s="23" t="n">
        <f aca="false">IFERROR(F21/C21,0)</f>
        <v>0</v>
      </c>
      <c r="H21" s="21"/>
      <c r="I21" s="24" t="str">
        <f aca="false">IF(A21="","",C21*H21)</f>
        <v/>
      </c>
      <c r="J21" s="24" t="str">
        <f aca="false">IF(A21="","",F21*H21)</f>
        <v/>
      </c>
      <c r="K21" s="25" t="str">
        <f aca="false">IF(A21="","",IF(AND(C21&gt;0,F21&gt;0,H21&gt;0),"Pronto para testar","Revisar preço, custo ou volume"))</f>
        <v/>
      </c>
    </row>
    <row r="22" customFormat="false" ht="34" hidden="false" customHeight="true" outlineLevel="0" collapsed="false">
      <c r="A22" s="20" t="s">
        <v>52</v>
      </c>
      <c r="B22" s="26"/>
      <c r="C22" s="26"/>
      <c r="D22" s="27"/>
      <c r="E22" s="26"/>
      <c r="F22" s="26"/>
      <c r="G22" s="27" t="n">
        <f aca="false">IFERROR(J22/I22,0)</f>
        <v>0.694016662458975</v>
      </c>
      <c r="H22" s="20" t="n">
        <f aca="false">SUM(H2:H21)</f>
        <v>47</v>
      </c>
      <c r="I22" s="26" t="n">
        <f aca="false">SUM(I2:I21)</f>
        <v>3961</v>
      </c>
      <c r="J22" s="26" t="n">
        <f aca="false">SUMPRODUCT(F2:F21,H2:H21)</f>
        <v>2749</v>
      </c>
      <c r="K22" s="20"/>
    </row>
  </sheetData>
  <autoFilter ref="A1:K22"/>
  <conditionalFormatting sqref="K2:K22">
    <cfRule type="expression" priority="2" aboveAverage="0" equalAverage="0" bottom="0" percent="0" rank="0" text="" dxfId="7">
      <formula>ISNUMBER(SEARCH("Concluído",K2))</formula>
    </cfRule>
    <cfRule type="expression" priority="3" aboveAverage="0" equalAverage="0" bottom="0" percent="0" rank="0" text="" dxfId="7">
      <formula>ISNUMBER(SEARCH("Publicado",K2))</formula>
    </cfRule>
    <cfRule type="expression" priority="4" aboveAverage="0" equalAverage="0" bottom="0" percent="0" rank="0" text="" dxfId="7">
      <formula>ISNUMBER(SEARCH("Pronto",K2))</formula>
    </cfRule>
    <cfRule type="expression" priority="5" aboveAverage="0" equalAverage="0" bottom="0" percent="0" rank="0" text="" dxfId="8">
      <formula>ISNUMBER(SEARCH("Pendente",K2))</formula>
    </cfRule>
    <cfRule type="expression" priority="6" aboveAverage="0" equalAverage="0" bottom="0" percent="0" rank="0" text="" dxfId="8">
      <formula>ISNUMBER(SEARCH("Em andamento",K2))</formula>
    </cfRule>
    <cfRule type="expression" priority="7" aboveAverage="0" equalAverage="0" bottom="0" percent="0" rank="0" text="" dxfId="8">
      <formula>ISNUMBER(SEARCH("Revisar",K2))</formula>
    </cfRule>
    <cfRule type="expression" priority="8" aboveAverage="0" equalAverage="0" bottom="0" percent="0" rank="0" text="" dxfId="9">
      <formula>ISNUMBER(SEARCH("Bloqueado",K2))</formula>
    </cfRule>
    <cfRule type="expression" priority="9" aboveAverage="0" equalAverage="0" bottom="0" percent="0" rank="0" text="" dxfId="9">
      <formula>ISNUMBER(SEARCH("Cancelado",K2))</formula>
    </cfRule>
    <cfRule type="expression" priority="10" aboveAverage="0" equalAverage="0" bottom="0" percent="0" rank="0" text="" dxfId="9">
      <formula>ISNUMBER(SEARCH("Estornado",K2))</formula>
    </cfRule>
  </conditionalFormatting>
  <dataValidations count="2">
    <dataValidation allowBlank="true" error="O valor não pode ser negativo." errorStyle="stop" errorTitle="Valor inválido" operator="greaterThanOrEqual" showDropDown="false" showErrorMessage="true" showInputMessage="false" sqref="B2:C21 E2:E21" type="decimal">
      <formula1>0</formula1>
      <formula2>0</formula2>
    </dataValidation>
    <dataValidation allowBlank="true" error="Informe uma quantidade inteira igual ou maior que zero." errorStyle="stop" errorTitle="Valor inválido" operator="greaterThanOrEqual" showDropDown="false" showErrorMessage="true" showInputMessage="false" sqref="H2:H21" type="whole">
      <formula1>0</formula1>
      <formula2>0</formula2>
    </dataValidation>
  </dataValidations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  <Company>Flowo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2026-08-23T12:00:00Z</dcterms:created>
  <dc:creator>Flowo</dc:creator>
  <dc:description>Gerado por scripts/generate-premium-materials.mjs</dc:description>
  <dc:language>en-US</dc:language>
  <cp:lastModifiedBy/>
  <cp:revision>0</cp:revision>
  <dc:subject>Material educativo para gestão de barbearias</dc:subject>
  <dc:title>Planilha de combos e ticket médio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