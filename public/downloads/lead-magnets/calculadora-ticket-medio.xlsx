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 primeiro" sheetId="1" state="visible" r:id="rId3"/>
    <sheet name="Calculadora" sheetId="2" state="visible" r:id="rId4"/>
  </sheets>
  <definedNames>
    <definedName function="false" hidden="false" localSheetId="1" name="_xlnm.Print_Area" vbProcedure="false">Calculadora!$A$1:$E$37</definedName>
    <definedName function="false" hidden="true" localSheetId="1" name="_xlnm._FilterDatabase" vbProcedure="false">Calculadora!$A$1:$E$37</definedName>
    <definedName function="false" hidden="false" localSheetId="0" name="_xlnm.Print_Area" vbProcedure="false">'Leia primeiro'!$A$1:$F$16</definedName>
    <definedName function="false" hidden="false" localSheetId="1" name="_xlnm._FilterDatabase" vbProcedure="false">Calculadora!A1:E37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<sst xmlns="http://schemas.openxmlformats.org/spreadsheetml/2006/main" count="34" uniqueCount="33">
  <si>
    <t xml:space="preserve">MATERIAL PRÁTICO FLOWO</t>
  </si>
  <si>
    <t xml:space="preserve">Calculadora de ticket médio</t>
  </si>
  <si>
    <t xml:space="preserve">Entenda quanto cada atendimento gera em média e quais serviços formam o faturamento.</t>
  </si>
  <si>
    <t xml:space="preserve">flowo.com.br</t>
  </si>
  <si>
    <t xml:space="preserve">COMO USAR</t>
  </si>
  <si>
    <t xml:space="preserve">1. Informe quantidade e preço médio por serviço.</t>
  </si>
  <si>
    <t xml:space="preserve">2. Informe o número total de atendimentos únicos do período.</t>
  </si>
  <si>
    <t xml:space="preserve">3. Compare ticket atual e meta sem confundir faturamento com lucro.</t>
  </si>
  <si>
    <t xml:space="preserve">ANTES DE COMEÇAR</t>
  </si>
  <si>
    <t xml:space="preserve">• Um mesmo cliente pode comprar mais de um serviço; use o total de atendimentos únicos no campo indicado.</t>
  </si>
  <si>
    <t xml:space="preserve">• A planilha não projeta demanda futura.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</si>
  <si>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</si>
  <si>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</si>
  <si>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Serviço</t>
  </si>
  <si>
    <t xml:space="preserve">Quantidade</t>
  </si>
  <si>
    <t xml:space="preserve">Preço médio (R$)</t>
  </si>
  <si>
    <t xml:space="preserve">Faturamento (R$)</t>
  </si>
  <si>
    <t xml:space="preserve">% do faturamento</t>
  </si>
  <si>
    <t xml:space="preserve">Corte</t>
  </si>
  <si>
    <t xml:space="preserve">Barba</t>
  </si>
  <si>
    <t xml:space="preserve">Corte + barba</t>
  </si>
  <si>
    <t xml:space="preserve">Acabamento</t>
  </si>
  <si>
    <t xml:space="preserve">Produtos</t>
  </si>
  <si>
    <t xml:space="preserve">TOTAL</t>
  </si>
  <si>
    <t xml:space="preserve">Atendimentos únicos</t>
  </si>
  <si>
    <t xml:space="preserve">Preencha</t>
  </si>
  <si>
    <t xml:space="preserve">Ticket médio atual</t>
  </si>
  <si>
    <t xml:space="preserve">Faturamento ÷ atendimentos únicos</t>
  </si>
  <si>
    <t xml:space="preserve">Meta de ticket médio</t>
  </si>
  <si>
    <t xml:space="preserve">Diferença para a meta</t>
  </si>
  <si>
    <t xml:space="preserve">Valor por atendimento</t>
  </si>
  <si>
    <t xml:space="preserve">Faturamento na meta</t>
  </si>
  <si>
    <t xml:space="preserve">Mantendo a quantidade de atendimentos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</si>
</sst>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%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0"/>
      <color rgb="FF171810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1718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BF9F3"/>
      </patternFill>
    </fill>
    <fill>
      <patternFill patternType="solid">
        <fgColor rgb="FFFBF9F3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6"/>
      <rgbColor rgb="FF808080"/>
      <rgbColor rgb="FF9999FF"/>
      <rgbColor rgb="FF993366"/>
      <rgbColor rgb="FFF4F0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2.84"/>
    <col collapsed="false" customWidth="true" hidden="false" outlineLevel="0" max="6" min="2" style="0" width="18.8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4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3" t="s">
        <v>3</v>
      </c>
      <c r="B4" s="3"/>
      <c r="C4" s="3"/>
      <c r="D4" s="3"/>
      <c r="E4" s="3"/>
      <c r="F4" s="3"/>
    </row>
    <row r="5" customFormat="false" ht="10" hidden="false" customHeight="true" outlineLevel="0" collapsed="false">
      <c r="A5" s="4"/>
      <c r="B5" s="4"/>
      <c r="C5" s="4"/>
      <c r="D5" s="4"/>
      <c r="E5" s="4"/>
      <c r="F5" s="4"/>
    </row>
    <row r="6" customFormat="false" ht="28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4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34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34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0" hidden="false" customHeight="true" outlineLevel="0" collapsed="false">
      <c r="A10" s="6"/>
      <c r="B10" s="6"/>
      <c r="C10" s="6"/>
      <c r="D10" s="6"/>
      <c r="E10" s="6"/>
      <c r="F10" s="6"/>
    </row>
    <row r="11" customFormat="false" ht="28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34" hidden="false" customHeight="true" outlineLevel="0" collapsed="false">
      <c r="A12" s="7" t="s">
        <v>9</v>
      </c>
      <c r="B12" s="7"/>
      <c r="C12" s="7"/>
      <c r="D12" s="7"/>
      <c r="E12" s="7"/>
      <c r="F12" s="7"/>
    </row>
    <row r="13" customFormat="false" ht="34" hidden="false" customHeight="true" outlineLevel="0" collapsed="false">
      <c r="A13" s="7" t="s">
        <v>10</v>
      </c>
      <c r="B13" s="7"/>
      <c r="C13" s="7"/>
      <c r="D13" s="7"/>
      <c r="E13" s="7"/>
      <c r="F13" s="7"/>
    </row>
    <row r="14" customFormat="false" ht="10" hidden="false" customHeight="true" outlineLevel="0" collapsed="false">
      <c r="A14" s="6"/>
      <c r="B14" s="6"/>
      <c r="C14" s="6"/>
      <c r="D14" s="6"/>
      <c r="E14" s="6"/>
      <c r="F14" s="6"/>
    </row>
    <row r="15" customFormat="false" ht="28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48" hidden="false" customHeight="true" outlineLevel="0" collapsed="false">
      <c r="A16" s="6" t="s">
        <v>12</v>
      </c>
      <c r="B16" s="6"/>
      <c r="C16" s="6"/>
      <c r="D16" s="6"/>
      <c r="E16" s="6"/>
      <c r="F16" s="6"/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0.84"/>
    <col collapsed="false" customWidth="true" hidden="false" outlineLevel="0" max="2" min="2" style="0" width="18.83"/>
    <col collapsed="false" customWidth="true" hidden="false" outlineLevel="0" max="3" min="3" style="0" width="22.84"/>
    <col collapsed="false" customWidth="true" hidden="false" outlineLevel="0" max="4" min="4" style="0" width="24.84"/>
    <col collapsed="false" customWidth="true" hidden="false" outlineLevel="0" max="5" min="5" style="0" width="38.83"/>
  </cols>
  <sheetData>
    <row r="1" customFormat="false" ht="30" hidden="false" customHeight="tru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</row>
    <row r="2" customFormat="false" ht="34" hidden="false" customHeight="true" outlineLevel="0" collapsed="false">
      <c r="A2" s="9" t="s">
        <v>18</v>
      </c>
      <c r="B2" s="9" t="n">
        <v>80</v>
      </c>
      <c r="C2" s="10" t="n">
        <v>60</v>
      </c>
      <c r="D2" s="10" t="n">
        <f aca="false">IF(A2="","",B2*C2)</f>
        <v>4800</v>
      </c>
      <c r="E2" s="11" t="n">
        <f aca="false">IFERROR(D2/$D$32,0)</f>
        <v>0.44423877834336</v>
      </c>
    </row>
    <row r="3" customFormat="false" ht="34" hidden="false" customHeight="true" outlineLevel="0" collapsed="false">
      <c r="A3" s="12" t="s">
        <v>19</v>
      </c>
      <c r="B3" s="12" t="n">
        <v>30</v>
      </c>
      <c r="C3" s="13" t="n">
        <v>45</v>
      </c>
      <c r="D3" s="13" t="n">
        <f aca="false">IF(A3="","",B3*C3)</f>
        <v>1350</v>
      </c>
      <c r="E3" s="14" t="n">
        <f aca="false">IFERROR(D3/$D$32,0)</f>
        <v>0.12494215640907</v>
      </c>
    </row>
    <row r="4" customFormat="false" ht="34" hidden="false" customHeight="true" outlineLevel="0" collapsed="false">
      <c r="A4" s="9" t="s">
        <v>20</v>
      </c>
      <c r="B4" s="9" t="n">
        <v>40</v>
      </c>
      <c r="C4" s="10" t="n">
        <v>95</v>
      </c>
      <c r="D4" s="10" t="n">
        <f aca="false">IF(A4="","",B4*C4)</f>
        <v>3800</v>
      </c>
      <c r="E4" s="11" t="n">
        <f aca="false">IFERROR(D4/$D$32,0)</f>
        <v>0.35168903285516</v>
      </c>
    </row>
    <row r="5" customFormat="false" ht="34" hidden="false" customHeight="true" outlineLevel="0" collapsed="false">
      <c r="A5" s="12" t="s">
        <v>21</v>
      </c>
      <c r="B5" s="12" t="n">
        <v>15</v>
      </c>
      <c r="C5" s="13" t="n">
        <v>25</v>
      </c>
      <c r="D5" s="13" t="n">
        <f aca="false">IF(A5="","",B5*C5)</f>
        <v>375</v>
      </c>
      <c r="E5" s="14" t="n">
        <f aca="false">IFERROR(D5/$D$32,0)</f>
        <v>0.034706154558075</v>
      </c>
    </row>
    <row r="6" customFormat="false" ht="34" hidden="false" customHeight="true" outlineLevel="0" collapsed="false">
      <c r="A6" s="9" t="s">
        <v>22</v>
      </c>
      <c r="B6" s="9" t="n">
        <v>12</v>
      </c>
      <c r="C6" s="10" t="n">
        <v>40</v>
      </c>
      <c r="D6" s="10" t="n">
        <f aca="false">IF(A6="","",B6*C6)</f>
        <v>480</v>
      </c>
      <c r="E6" s="11" t="n">
        <f aca="false">IFERROR(D6/$D$32,0)</f>
        <v>0.044423877834336</v>
      </c>
    </row>
    <row r="7" customFormat="false" ht="34" hidden="false" customHeight="true" outlineLevel="0" collapsed="false">
      <c r="A7" s="12"/>
      <c r="B7" s="12"/>
      <c r="C7" s="13"/>
      <c r="D7" s="13" t="str">
        <f aca="false">IF(A7="","",B7*C7)</f>
        <v/>
      </c>
      <c r="E7" s="14" t="n">
        <f aca="false">IFERROR(D7/$D$32,0)</f>
        <v>0</v>
      </c>
    </row>
    <row r="8" customFormat="false" ht="34" hidden="false" customHeight="true" outlineLevel="0" collapsed="false">
      <c r="A8" s="9"/>
      <c r="B8" s="9"/>
      <c r="C8" s="10"/>
      <c r="D8" s="10" t="str">
        <f aca="false">IF(A8="","",B8*C8)</f>
        <v/>
      </c>
      <c r="E8" s="11" t="n">
        <f aca="false">IFERROR(D8/$D$32,0)</f>
        <v>0</v>
      </c>
    </row>
    <row r="9" customFormat="false" ht="34" hidden="false" customHeight="true" outlineLevel="0" collapsed="false">
      <c r="A9" s="12"/>
      <c r="B9" s="12"/>
      <c r="C9" s="13"/>
      <c r="D9" s="13" t="str">
        <f aca="false">IF(A9="","",B9*C9)</f>
        <v/>
      </c>
      <c r="E9" s="14" t="n">
        <f aca="false">IFERROR(D9/$D$32,0)</f>
        <v>0</v>
      </c>
    </row>
    <row r="10" customFormat="false" ht="34" hidden="false" customHeight="true" outlineLevel="0" collapsed="false">
      <c r="A10" s="9"/>
      <c r="B10" s="9"/>
      <c r="C10" s="10"/>
      <c r="D10" s="10" t="str">
        <f aca="false">IF(A10="","",B10*C10)</f>
        <v/>
      </c>
      <c r="E10" s="11" t="n">
        <f aca="false">IFERROR(D10/$D$32,0)</f>
        <v>0</v>
      </c>
    </row>
    <row r="11" customFormat="false" ht="34" hidden="false" customHeight="true" outlineLevel="0" collapsed="false">
      <c r="A11" s="12"/>
      <c r="B11" s="12"/>
      <c r="C11" s="13"/>
      <c r="D11" s="13" t="str">
        <f aca="false">IF(A11="","",B11*C11)</f>
        <v/>
      </c>
      <c r="E11" s="14" t="n">
        <f aca="false">IFERROR(D11/$D$32,0)</f>
        <v>0</v>
      </c>
    </row>
    <row r="12" customFormat="false" ht="34" hidden="false" customHeight="true" outlineLevel="0" collapsed="false">
      <c r="A12" s="9"/>
      <c r="B12" s="9"/>
      <c r="C12" s="10"/>
      <c r="D12" s="10" t="str">
        <f aca="false">IF(A12="","",B12*C12)</f>
        <v/>
      </c>
      <c r="E12" s="11" t="n">
        <f aca="false">IFERROR(D12/$D$32,0)</f>
        <v>0</v>
      </c>
    </row>
    <row r="13" customFormat="false" ht="34" hidden="false" customHeight="true" outlineLevel="0" collapsed="false">
      <c r="A13" s="12"/>
      <c r="B13" s="12"/>
      <c r="C13" s="13"/>
      <c r="D13" s="13" t="str">
        <f aca="false">IF(A13="","",B13*C13)</f>
        <v/>
      </c>
      <c r="E13" s="14" t="n">
        <f aca="false">IFERROR(D13/$D$32,0)</f>
        <v>0</v>
      </c>
    </row>
    <row r="14" customFormat="false" ht="34" hidden="false" customHeight="true" outlineLevel="0" collapsed="false">
      <c r="A14" s="9"/>
      <c r="B14" s="9"/>
      <c r="C14" s="10"/>
      <c r="D14" s="10" t="str">
        <f aca="false">IF(A14="","",B14*C14)</f>
        <v/>
      </c>
      <c r="E14" s="11" t="n">
        <f aca="false">IFERROR(D14/$D$32,0)</f>
        <v>0</v>
      </c>
    </row>
    <row r="15" customFormat="false" ht="34" hidden="false" customHeight="true" outlineLevel="0" collapsed="false">
      <c r="A15" s="12"/>
      <c r="B15" s="12"/>
      <c r="C15" s="13"/>
      <c r="D15" s="13" t="str">
        <f aca="false">IF(A15="","",B15*C15)</f>
        <v/>
      </c>
      <c r="E15" s="14" t="n">
        <f aca="false">IFERROR(D15/$D$32,0)</f>
        <v>0</v>
      </c>
    </row>
    <row r="16" customFormat="false" ht="34" hidden="false" customHeight="true" outlineLevel="0" collapsed="false">
      <c r="A16" s="9"/>
      <c r="B16" s="9"/>
      <c r="C16" s="10"/>
      <c r="D16" s="10" t="str">
        <f aca="false">IF(A16="","",B16*C16)</f>
        <v/>
      </c>
      <c r="E16" s="11" t="n">
        <f aca="false">IFERROR(D16/$D$32,0)</f>
        <v>0</v>
      </c>
    </row>
    <row r="17" customFormat="false" ht="34" hidden="false" customHeight="true" outlineLevel="0" collapsed="false">
      <c r="A17" s="12"/>
      <c r="B17" s="12"/>
      <c r="C17" s="13"/>
      <c r="D17" s="13" t="str">
        <f aca="false">IF(A17="","",B17*C17)</f>
        <v/>
      </c>
      <c r="E17" s="14" t="n">
        <f aca="false">IFERROR(D17/$D$32,0)</f>
        <v>0</v>
      </c>
    </row>
    <row r="18" customFormat="false" ht="34" hidden="false" customHeight="true" outlineLevel="0" collapsed="false">
      <c r="A18" s="9"/>
      <c r="B18" s="9"/>
      <c r="C18" s="10"/>
      <c r="D18" s="10" t="str">
        <f aca="false">IF(A18="","",B18*C18)</f>
        <v/>
      </c>
      <c r="E18" s="11" t="n">
        <f aca="false">IFERROR(D18/$D$32,0)</f>
        <v>0</v>
      </c>
    </row>
    <row r="19" customFormat="false" ht="34" hidden="false" customHeight="true" outlineLevel="0" collapsed="false">
      <c r="A19" s="12"/>
      <c r="B19" s="12"/>
      <c r="C19" s="13"/>
      <c r="D19" s="13" t="str">
        <f aca="false">IF(A19="","",B19*C19)</f>
        <v/>
      </c>
      <c r="E19" s="14" t="n">
        <f aca="false">IFERROR(D19/$D$32,0)</f>
        <v>0</v>
      </c>
    </row>
    <row r="20" customFormat="false" ht="34" hidden="false" customHeight="true" outlineLevel="0" collapsed="false">
      <c r="A20" s="9"/>
      <c r="B20" s="9"/>
      <c r="C20" s="10"/>
      <c r="D20" s="10" t="str">
        <f aca="false">IF(A20="","",B20*C20)</f>
        <v/>
      </c>
      <c r="E20" s="11" t="n">
        <f aca="false">IFERROR(D20/$D$32,0)</f>
        <v>0</v>
      </c>
    </row>
    <row r="21" customFormat="false" ht="34" hidden="false" customHeight="true" outlineLevel="0" collapsed="false">
      <c r="A21" s="12"/>
      <c r="B21" s="12"/>
      <c r="C21" s="13"/>
      <c r="D21" s="13" t="str">
        <f aca="false">IF(A21="","",B21*C21)</f>
        <v/>
      </c>
      <c r="E21" s="14" t="n">
        <f aca="false">IFERROR(D21/$D$32,0)</f>
        <v>0</v>
      </c>
    </row>
    <row r="22" customFormat="false" ht="34" hidden="false" customHeight="true" outlineLevel="0" collapsed="false">
      <c r="A22" s="9"/>
      <c r="B22" s="9"/>
      <c r="C22" s="10"/>
      <c r="D22" s="10" t="str">
        <f aca="false">IF(A22="","",B22*C22)</f>
        <v/>
      </c>
      <c r="E22" s="11" t="n">
        <f aca="false">IFERROR(D22/$D$32,0)</f>
        <v>0</v>
      </c>
    </row>
    <row r="23" customFormat="false" ht="34" hidden="false" customHeight="true" outlineLevel="0" collapsed="false">
      <c r="A23" s="12"/>
      <c r="B23" s="12"/>
      <c r="C23" s="13"/>
      <c r="D23" s="13" t="str">
        <f aca="false">IF(A23="","",B23*C23)</f>
        <v/>
      </c>
      <c r="E23" s="14" t="n">
        <f aca="false">IFERROR(D23/$D$32,0)</f>
        <v>0</v>
      </c>
    </row>
    <row r="24" customFormat="false" ht="34" hidden="false" customHeight="true" outlineLevel="0" collapsed="false">
      <c r="A24" s="9"/>
      <c r="B24" s="9"/>
      <c r="C24" s="10"/>
      <c r="D24" s="10" t="str">
        <f aca="false">IF(A24="","",B24*C24)</f>
        <v/>
      </c>
      <c r="E24" s="11" t="n">
        <f aca="false">IFERROR(D24/$D$32,0)</f>
        <v>0</v>
      </c>
    </row>
    <row r="25" customFormat="false" ht="34" hidden="false" customHeight="true" outlineLevel="0" collapsed="false">
      <c r="A25" s="12"/>
      <c r="B25" s="12"/>
      <c r="C25" s="13"/>
      <c r="D25" s="13" t="str">
        <f aca="false">IF(A25="","",B25*C25)</f>
        <v/>
      </c>
      <c r="E25" s="14" t="n">
        <f aca="false">IFERROR(D25/$D$32,0)</f>
        <v>0</v>
      </c>
    </row>
    <row r="26" customFormat="false" ht="34" hidden="false" customHeight="true" outlineLevel="0" collapsed="false">
      <c r="A26" s="9"/>
      <c r="B26" s="9"/>
      <c r="C26" s="10"/>
      <c r="D26" s="10" t="str">
        <f aca="false">IF(A26="","",B26*C26)</f>
        <v/>
      </c>
      <c r="E26" s="11" t="n">
        <f aca="false">IFERROR(D26/$D$32,0)</f>
        <v>0</v>
      </c>
    </row>
    <row r="27" customFormat="false" ht="34" hidden="false" customHeight="true" outlineLevel="0" collapsed="false">
      <c r="A27" s="12"/>
      <c r="B27" s="12"/>
      <c r="C27" s="13"/>
      <c r="D27" s="13" t="str">
        <f aca="false">IF(A27="","",B27*C27)</f>
        <v/>
      </c>
      <c r="E27" s="14" t="n">
        <f aca="false">IFERROR(D27/$D$32,0)</f>
        <v>0</v>
      </c>
    </row>
    <row r="28" customFormat="false" ht="34" hidden="false" customHeight="true" outlineLevel="0" collapsed="false">
      <c r="A28" s="9"/>
      <c r="B28" s="9"/>
      <c r="C28" s="10"/>
      <c r="D28" s="10" t="str">
        <f aca="false">IF(A28="","",B28*C28)</f>
        <v/>
      </c>
      <c r="E28" s="11" t="n">
        <f aca="false">IFERROR(D28/$D$32,0)</f>
        <v>0</v>
      </c>
    </row>
    <row r="29" customFormat="false" ht="34" hidden="false" customHeight="true" outlineLevel="0" collapsed="false">
      <c r="A29" s="12"/>
      <c r="B29" s="12"/>
      <c r="C29" s="13"/>
      <c r="D29" s="13" t="str">
        <f aca="false">IF(A29="","",B29*C29)</f>
        <v/>
      </c>
      <c r="E29" s="14" t="n">
        <f aca="false">IFERROR(D29/$D$32,0)</f>
        <v>0</v>
      </c>
    </row>
    <row r="30" customFormat="false" ht="34" hidden="false" customHeight="true" outlineLevel="0" collapsed="false">
      <c r="A30" s="9"/>
      <c r="B30" s="9"/>
      <c r="C30" s="10"/>
      <c r="D30" s="10" t="str">
        <f aca="false">IF(A30="","",B30*C30)</f>
        <v/>
      </c>
      <c r="E30" s="11" t="n">
        <f aca="false">IFERROR(D30/$D$32,0)</f>
        <v>0</v>
      </c>
    </row>
    <row r="31" customFormat="false" ht="34" hidden="false" customHeight="true" outlineLevel="0" collapsed="false">
      <c r="A31" s="12"/>
      <c r="B31" s="12"/>
      <c r="C31" s="13"/>
      <c r="D31" s="13" t="str">
        <f aca="false">IF(A31="","",B31*C31)</f>
        <v/>
      </c>
      <c r="E31" s="14" t="n">
        <f aca="false">IFERROR(D31/$D$32,0)</f>
        <v>0</v>
      </c>
    </row>
    <row r="32" customFormat="false" ht="34" hidden="false" customHeight="true" outlineLevel="0" collapsed="false">
      <c r="A32" s="8" t="s">
        <v>23</v>
      </c>
      <c r="B32" s="8" t="n">
        <f aca="false">SUM(B2:B31)</f>
        <v>177</v>
      </c>
      <c r="C32" s="15"/>
      <c r="D32" s="15" t="n">
        <f aca="false">SUM(D2:D31)</f>
        <v>10805</v>
      </c>
      <c r="E32" s="16" t="n">
        <v>1</v>
      </c>
    </row>
    <row r="33" customFormat="false" ht="34" hidden="false" customHeight="true" outlineLevel="0" collapsed="false">
      <c r="A33" s="12" t="s">
        <v>24</v>
      </c>
      <c r="B33" s="12" t="n">
        <v>140</v>
      </c>
      <c r="C33" s="13"/>
      <c r="D33" s="13"/>
      <c r="E33" s="12" t="s">
        <v>25</v>
      </c>
    </row>
    <row r="34" customFormat="false" ht="34" hidden="false" customHeight="true" outlineLevel="0" collapsed="false">
      <c r="A34" s="17" t="s">
        <v>26</v>
      </c>
      <c r="B34" s="17"/>
      <c r="C34" s="18"/>
      <c r="D34" s="18" t="n">
        <f aca="false">IFERROR(D32/B33,0)</f>
        <v>77.1785714285714</v>
      </c>
      <c r="E34" s="17" t="s">
        <v>27</v>
      </c>
    </row>
    <row r="35" customFormat="false" ht="34" hidden="false" customHeight="true" outlineLevel="0" collapsed="false">
      <c r="A35" s="17" t="s">
        <v>28</v>
      </c>
      <c r="B35" s="17"/>
      <c r="C35" s="18"/>
      <c r="D35" s="18" t="n">
        <v>75</v>
      </c>
      <c r="E35" s="17" t="s">
        <v>25</v>
      </c>
    </row>
    <row r="36" customFormat="false" ht="34" hidden="false" customHeight="true" outlineLevel="0" collapsed="false">
      <c r="A36" s="17" t="s">
        <v>29</v>
      </c>
      <c r="B36" s="17"/>
      <c r="C36" s="18"/>
      <c r="D36" s="18" t="n">
        <f aca="false">D35-D34</f>
        <v>-2.17857142857143</v>
      </c>
      <c r="E36" s="17" t="s">
        <v>30</v>
      </c>
    </row>
    <row r="37" customFormat="false" ht="34" hidden="false" customHeight="true" outlineLevel="0" collapsed="false">
      <c r="A37" s="17" t="s">
        <v>31</v>
      </c>
      <c r="B37" s="17"/>
      <c r="C37" s="18"/>
      <c r="D37" s="18" t="n">
        <f aca="false">B33*D35</f>
        <v>10500</v>
      </c>
      <c r="E37" s="17" t="s">
        <v>32</v>
      </c>
    </row>
  </sheetData>
  <autoFilter ref="A1:E37"/>
  <dataValidations count="2">
    <dataValidation allowBlank="true" error="Informe uma quantidade inteira igual ou maior que zero." errorStyle="stop" errorTitle="Valor inválido" operator="greaterThanOrEqual" showDropDown="false" showErrorMessage="true" showInputMessage="false" sqref="B2:B31 B33" type="whole">
      <formula1>0</formula1>
      <formula2>0</formula2>
    </dataValidation>
    <dataValidation allowBlank="true" error="Informe um valor igual ou maior que zero." errorStyle="stop" errorTitle="Valor inválido" operator="greaterThanOrEqual" showDropDown="false" showErrorMessage="true" showInputMessage="false" sqref="C2:C31 D35" type="decimal">
      <formula1>0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Calculadora de ticket médio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