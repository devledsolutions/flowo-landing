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ece aqui" sheetId="1" state="visible" r:id="rId3"/>
    <sheet name="Painel rápido" sheetId="2" state="visible" r:id="rId4"/>
    <sheet name="Custos" sheetId="3" state="visible" r:id="rId5"/>
    <sheet name="Precificação" sheetId="4" state="visible" r:id="rId6"/>
  </sheets>
  <definedNames>
    <definedName function="false" hidden="false" localSheetId="0" name="_xlnm.Print_Area" vbProcedure="false">'Comece aqui'!$A$1:$F$19</definedName>
    <definedName function="false" hidden="false" localSheetId="2" name="_xlnm.Print_Area" vbProcedure="false">Custos!$A$1:$C$10</definedName>
    <definedName function="false" hidden="false" localSheetId="1" name="_xlnm.Print_Area" vbProcedure="false">'Painel rápido'!$A$1:$I$18</definedName>
    <definedName function="false" hidden="false" localSheetId="3" name="_xlnm.Print_Area" vbProcedure="false">Precificação!$A$1:$I$21</definedName>
    <definedName function="false" hidden="true" localSheetId="3" name="_xlnm._FilterDatabase" vbProcedure="false">Precificação!$A$1:$I$21</definedName>
    <definedName function="false" hidden="false" localSheetId="3" name="_xlnm._FilterDatabase" vbProcedure="false">Precificação!A1:I21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<sst xmlns="http://schemas.openxmlformats.org/spreadsheetml/2006/main" count="72" uniqueCount="67">
  <si>
    <t xml:space="preserve">FLOWO · MATERIAL PRÁTICO</t>
  </si>
  <si>
    <t xml:space="preserve">Planilha de precificação de serviços</t>
  </si>
  <si>
    <t xml:space="preserve">Organize custos, capacidade e margem para tomar decisões de preço com mais clareza.</t>
  </si>
  <si>
    <t xml:space="preserve">Veja o resumo na próxima aba. Depois, preencha somente as células rosadas e volte ao resumo para decidir o que fazer.</t>
  </si>
  <si>
    <t xml:space="preserve">01</t>
  </si>
  <si>
    <t xml:space="preserve">02</t>
  </si>
  <si>
    <t xml:space="preserve">03</t>
  </si>
  <si>
    <t xml:space="preserve">Troque os custos e as horas de atendimento pelos números da barbearia.</t>
  </si>
  <si>
    <t xml:space="preserve">Revise material usado e tempo de cada serviço.</t>
  </si>
  <si>
    <t xml:space="preserve">Compare o preço calculado com o preço praticado na sua região.</t>
  </si>
  <si>
    <t xml:space="preserve">LEGENDA RÁPIDA</t>
  </si>
  <si>
    <t xml:space="preserve">DIGITE AQUI</t>
  </si>
  <si>
    <t xml:space="preserve">RESULTADO</t>
  </si>
  <si>
    <t xml:space="preserve">ATENÇÃO</t>
  </si>
  <si>
    <t xml:space="preserve">Células rosadas</t>
  </si>
  <si>
    <t xml:space="preserve">Células verdes</t>
  </si>
  <si>
    <t xml:space="preserve">Células amarelas</t>
  </si>
  <si>
    <t xml:space="preserve">ANTES DE COMEÇAR</t>
  </si>
  <si>
    <t xml:space="preserve">• A planilha não substitui análise contábil, tributária ou de mercado.</t>
  </si>
  <si>
    <t xml:space="preserve">• Preço final deve considerar impostos, capacidade, posicionamento e realidade local.</t>
  </si>
  <si>
    <t xml:space="preserve">AVISO IMPORTANTE</t>
  </si>
  <si>
    <t xml:space="preserve">Material educativo. Adapte à realidade da sua barbearia e valide decisões contábeis, fiscais, trabalhistas e jurídicas com profissionais habilitados.</t>
  </si>
  <si>
    <t xml:space="preserve">flowo.com.br/recursos/materiais</t>
  </si>
  <si>
    <t xml:space="preserve">FLOWO · RESUMO SIMPLES</t>
  </si>
  <si>
    <t xml:space="preserve">Seu preço precisa caber na rotina</t>
  </si>
  <si>
    <t xml:space="preserve">Use o cálculo como referência e compare com mercado, posicionamento e capacidade.</t>
  </si>
  <si>
    <t xml:space="preserve">SERVIÇOS PREENCHIDOS</t>
  </si>
  <si>
    <t xml:space="preserve">PREÇO CALCULADO MÉDIO</t>
  </si>
  <si>
    <t xml:space="preserve">PREÇOS FINAIS DEFINIDOS</t>
  </si>
  <si>
    <t xml:space="preserve">serviços com nome</t>
  </si>
  <si>
    <t xml:space="preserve">referência dos serviços cadastrados</t>
  </si>
  <si>
    <t xml:space="preserve">decisões já registradas</t>
  </si>
  <si>
    <t xml:space="preserve">PRÓXIMA AÇÃO</t>
  </si>
  <si>
    <t xml:space="preserve">Comece por um único serviço: preencha tempo, material usado e margem; depois registre o preço final que faz sentido.</t>
  </si>
  <si>
    <t xml:space="preserve">COMO LER</t>
  </si>
  <si>
    <t xml:space="preserve">1. Preencha as células rosadas nas outras abas.</t>
  </si>
  <si>
    <t xml:space="preserve">2. Volte aqui para conferir os números principais.</t>
  </si>
  <si>
    <t xml:space="preserve">3. Resolva primeiro o que estiver pendente ou bloqueado.</t>
  </si>
  <si>
    <t xml:space="preserve">CUSTOS FIXOS MENSAIS</t>
  </si>
  <si>
    <t xml:space="preserve">Valor (R$)</t>
  </si>
  <si>
    <t xml:space="preserve">Observações</t>
  </si>
  <si>
    <t xml:space="preserve">Aluguel e condomínio</t>
  </si>
  <si>
    <t xml:space="preserve">Exemplo — substitua</t>
  </si>
  <si>
    <t xml:space="preserve">Energia, água e internet</t>
  </si>
  <si>
    <t xml:space="preserve">Sistemas e serviços</t>
  </si>
  <si>
    <t xml:space="preserve">Folha, pró-labore e encargos</t>
  </si>
  <si>
    <t xml:space="preserve">Exemplo — valide com contador</t>
  </si>
  <si>
    <t xml:space="preserve">Marketing</t>
  </si>
  <si>
    <t xml:space="preserve">Outros custos fixos</t>
  </si>
  <si>
    <t xml:space="preserve">TOTAL FIXO</t>
  </si>
  <si>
    <t xml:space="preserve">Horas produtivas previstas/mês</t>
  </si>
  <si>
    <t xml:space="preserve">Some as horas disponíveis da equipe; evite zero</t>
  </si>
  <si>
    <t xml:space="preserve">CUSTO FIXO POR MINUTO PRODUTIVO</t>
  </si>
  <si>
    <t xml:space="preserve">Rateio proporcional ao tempo de cada serviço</t>
  </si>
  <si>
    <t xml:space="preserve">Serviço</t>
  </si>
  <si>
    <t xml:space="preserve">Tempo (min)</t>
  </si>
  <si>
    <t xml:space="preserve">Material usado (R$)</t>
  </si>
  <si>
    <t xml:space="preserve">Parte dos custos fixos</t>
  </si>
  <si>
    <t xml:space="preserve">Custo total</t>
  </si>
  <si>
    <t xml:space="preserve">Margem desejada</t>
  </si>
  <si>
    <t xml:space="preserve">Preço calculado</t>
  </si>
  <si>
    <t xml:space="preserve">Preço final</t>
  </si>
  <si>
    <t xml:space="preserve">Corte</t>
  </si>
  <si>
    <t xml:space="preserve">Barba</t>
  </si>
  <si>
    <t xml:space="preserve">Corte + barba</t>
  </si>
  <si>
    <t xml:space="preserve">Acabamento</t>
  </si>
  <si>
    <t xml:space="preserve">Outro serviço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</si>
</sst>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&quot;R$ &quot;#,##0.00"/>
    <numFmt numFmtId="167" formatCode="0.0"/>
    <numFmt numFmtId="168" formatCode="0.0%"/>
  </numFmts>
  <fonts count="2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4F0E5"/>
      <name val="Arial"/>
      <family val="2"/>
      <charset val="1"/>
    </font>
    <font>
      <b val="true"/>
      <sz val="22"/>
      <color rgb="FF171810"/>
      <name val="Arial"/>
      <family val="2"/>
      <charset val="1"/>
    </font>
    <font>
      <sz val="12"/>
      <color rgb="FF6D6A61"/>
      <name val="Arial"/>
      <family val="2"/>
      <charset val="1"/>
    </font>
    <font>
      <b val="true"/>
      <sz val="11"/>
      <color rgb="FF171810"/>
      <name val="Arial"/>
      <family val="2"/>
      <charset val="1"/>
    </font>
    <font>
      <b val="true"/>
      <sz val="11"/>
      <color rgb="FFF4F0E5"/>
      <name val="Arial"/>
      <family val="2"/>
      <charset val="1"/>
    </font>
    <font>
      <sz val="11"/>
      <color rgb="FF171810"/>
      <name val="Arial"/>
      <family val="2"/>
      <charset val="1"/>
    </font>
    <font>
      <b val="true"/>
      <sz val="11"/>
      <color rgb="FF7A173F"/>
      <name val="Arial"/>
      <family val="2"/>
      <charset val="1"/>
    </font>
    <font>
      <b val="true"/>
      <sz val="11"/>
      <color rgb="FF1F7A50"/>
      <name val="Arial"/>
      <family val="2"/>
      <charset val="1"/>
    </font>
    <font>
      <b val="true"/>
      <sz val="11"/>
      <color rgb="FFA45D13"/>
      <name val="Arial"/>
      <family val="2"/>
      <charset val="1"/>
    </font>
    <font>
      <sz val="10"/>
      <color rgb="FF6D6A61"/>
      <name val="Arial"/>
      <family val="2"/>
      <charset val="1"/>
    </font>
    <font>
      <sz val="10"/>
      <color rgb="FF171810"/>
      <name val="Arial"/>
      <family val="2"/>
      <charset val="1"/>
    </font>
    <font>
      <b val="true"/>
      <sz val="10"/>
      <color rgb="FFC52663"/>
      <name val="Arial"/>
      <family val="2"/>
      <charset val="1"/>
    </font>
    <font>
      <sz val="11"/>
      <color rgb="FF6D6A61"/>
      <name val="Arial"/>
      <family val="2"/>
      <charset val="1"/>
    </font>
    <font>
      <b val="true"/>
      <sz val="22"/>
      <color rgb="FF1F7A50"/>
      <name val="Arial"/>
      <family val="2"/>
      <charset val="1"/>
    </font>
    <font>
      <b val="true"/>
      <sz val="12"/>
      <color rgb="FFA45D13"/>
      <name val="Arial"/>
      <family val="2"/>
      <charset val="1"/>
    </font>
    <font>
      <b val="true"/>
      <sz val="10"/>
      <color rgb="FF171810"/>
      <name val="Arial"/>
      <family val="2"/>
      <charset val="1"/>
    </font>
    <font>
      <sz val="11"/>
      <color rgb="FF7A173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71810"/>
        <bgColor rgb="FF000000"/>
      </patternFill>
    </fill>
    <fill>
      <patternFill patternType="solid">
        <fgColor rgb="FFF4F0E5"/>
        <bgColor rgb="FFFAEEDB"/>
      </patternFill>
    </fill>
    <fill>
      <patternFill patternType="solid">
        <fgColor rgb="FFFBF9F3"/>
        <bgColor rgb="FFF4F0E5"/>
      </patternFill>
    </fill>
    <fill>
      <patternFill patternType="solid">
        <fgColor rgb="FFF8E9EF"/>
        <bgColor rgb="FFF4F0E5"/>
      </patternFill>
    </fill>
    <fill>
      <patternFill patternType="solid">
        <fgColor rgb="FFE7F3EC"/>
        <bgColor rgb="FFF4F0E5"/>
      </patternFill>
    </fill>
    <fill>
      <patternFill patternType="solid">
        <fgColor rgb="FFFAEEDB"/>
        <bgColor rgb="FFF4F0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6"/>
      </left>
      <right style="thin">
        <color rgb="FFD9D3C6"/>
      </right>
      <top style="thin">
        <color rgb="FFD9D3C6"/>
      </top>
      <bottom style="thin">
        <color rgb="FFD9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1810"/>
          <bgColor rgb="FF000000"/>
        </patternFill>
      </fill>
    </dxf>
    <dxf>
      <fill>
        <patternFill patternType="solid">
          <fgColor rgb="FFF8E9EF"/>
          <bgColor rgb="FF000000"/>
        </patternFill>
      </fill>
    </dxf>
    <dxf>
      <fill>
        <patternFill patternType="solid">
          <fgColor rgb="FF7A173F"/>
          <bgColor rgb="FF000000"/>
        </patternFill>
      </fill>
    </dxf>
    <dxf>
      <fill>
        <patternFill patternType="solid">
          <fgColor rgb="FFF4F0E5"/>
          <bgColor rgb="FF000000"/>
        </patternFill>
      </fill>
    </dxf>
    <dxf>
      <fill>
        <patternFill patternType="solid">
          <fgColor rgb="FFE7F3EC"/>
          <bgColor rgb="FF000000"/>
        </patternFill>
      </fill>
    </dxf>
  </dxfs>
  <colors>
    <indexedColors>
      <rgbColor rgb="FF000000"/>
      <rgbColor rgb="FFFBF9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0"/>
      <rgbColor rgb="FFD9D3C6"/>
      <rgbColor rgb="FF808080"/>
      <rgbColor rgb="FF9999FF"/>
      <rgbColor rgb="FFC52663"/>
      <rgbColor rgb="FFFAEEDB"/>
      <rgbColor rgb="FFE7F3EC"/>
      <rgbColor rgb="FF7A173F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E9EF"/>
      <rgbColor rgb="FFF4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A61"/>
      <rgbColor rgb="FF969696"/>
      <rgbColor rgb="FF003366"/>
      <rgbColor rgb="FF339966"/>
      <rgbColor rgb="FF171810"/>
      <rgbColor rgb="FF333300"/>
      <rgbColor rgb="FFA45D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6" min="1" style="0" width="18.8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0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</row>
    <row r="5" customFormat="false" ht="8" hidden="false" customHeight="true" outlineLevel="0" collapsed="false"/>
    <row r="6" customFormat="false" ht="24" hidden="false" customHeight="true" outlineLevel="0" collapsed="false">
      <c r="A6" s="5" t="s">
        <v>4</v>
      </c>
      <c r="B6" s="5"/>
      <c r="C6" s="5" t="s">
        <v>5</v>
      </c>
      <c r="D6" s="5"/>
      <c r="E6" s="5" t="s">
        <v>6</v>
      </c>
      <c r="F6" s="5"/>
    </row>
    <row r="7" customFormat="false" ht="48" hidden="false" customHeight="true" outlineLevel="0" collapsed="false">
      <c r="A7" s="6" t="s">
        <v>7</v>
      </c>
      <c r="B7" s="6"/>
      <c r="C7" s="6" t="s">
        <v>8</v>
      </c>
      <c r="D7" s="6"/>
      <c r="E7" s="6" t="s">
        <v>9</v>
      </c>
      <c r="F7" s="6"/>
    </row>
    <row r="8" customFormat="false" ht="8" hidden="false" customHeight="true" outlineLevel="0" collapsed="false"/>
    <row r="9" customFormat="false" ht="34" hidden="false" customHeight="true" outlineLevel="0" collapsed="false">
      <c r="A9" s="1" t="s">
        <v>10</v>
      </c>
      <c r="B9" s="1"/>
      <c r="C9" s="1"/>
      <c r="D9" s="1"/>
      <c r="E9" s="1"/>
      <c r="F9" s="1"/>
    </row>
    <row r="10" customFormat="false" ht="24" hidden="false" customHeight="true" outlineLevel="0" collapsed="false">
      <c r="A10" s="7" t="s">
        <v>11</v>
      </c>
      <c r="B10" s="7"/>
      <c r="C10" s="8" t="s">
        <v>12</v>
      </c>
      <c r="D10" s="8"/>
      <c r="E10" s="9" t="s">
        <v>13</v>
      </c>
      <c r="F10" s="9"/>
    </row>
    <row r="11" customFormat="false" ht="48" hidden="false" customHeight="true" outlineLevel="0" collapsed="false">
      <c r="A11" s="7" t="s">
        <v>14</v>
      </c>
      <c r="B11" s="7"/>
      <c r="C11" s="8" t="s">
        <v>15</v>
      </c>
      <c r="D11" s="8"/>
      <c r="E11" s="9" t="s">
        <v>16</v>
      </c>
      <c r="F11" s="9"/>
    </row>
    <row r="12" customFormat="false" ht="8" hidden="false" customHeight="true" outlineLevel="0" collapsed="false"/>
    <row r="13" customFormat="false" ht="34" hidden="false" customHeight="true" outlineLevel="0" collapsed="false">
      <c r="A13" s="1" t="s">
        <v>17</v>
      </c>
      <c r="B13" s="1"/>
      <c r="C13" s="1"/>
      <c r="D13" s="1"/>
      <c r="E13" s="1"/>
      <c r="F13" s="1"/>
    </row>
    <row r="14" customFormat="false" ht="34" hidden="false" customHeight="true" outlineLevel="0" collapsed="false">
      <c r="A14" s="10" t="s">
        <v>18</v>
      </c>
      <c r="B14" s="10"/>
      <c r="C14" s="10"/>
      <c r="D14" s="10"/>
      <c r="E14" s="10"/>
      <c r="F14" s="10"/>
    </row>
    <row r="15" customFormat="false" ht="34" hidden="false" customHeight="true" outlineLevel="0" collapsed="false">
      <c r="A15" s="10" t="s">
        <v>19</v>
      </c>
      <c r="B15" s="10"/>
      <c r="C15" s="10"/>
      <c r="D15" s="10"/>
      <c r="E15" s="10"/>
      <c r="F15" s="10"/>
    </row>
    <row r="16" customFormat="false" ht="8" hidden="false" customHeight="true" outlineLevel="0" collapsed="false">
      <c r="A16" s="11"/>
      <c r="B16" s="11"/>
      <c r="C16" s="11"/>
      <c r="D16" s="11"/>
      <c r="E16" s="11"/>
      <c r="F16" s="11"/>
    </row>
    <row r="17" customFormat="false" ht="34" hidden="false" customHeight="true" outlineLevel="0" collapsed="false">
      <c r="A17" s="1" t="s">
        <v>20</v>
      </c>
      <c r="B17" s="1"/>
      <c r="C17" s="1"/>
      <c r="D17" s="1"/>
      <c r="E17" s="1"/>
      <c r="F17" s="1"/>
    </row>
    <row r="18" customFormat="false" ht="46" hidden="false" customHeight="true" outlineLevel="0" collapsed="false">
      <c r="A18" s="12" t="s">
        <v>21</v>
      </c>
      <c r="B18" s="12"/>
      <c r="C18" s="12"/>
      <c r="D18" s="12"/>
      <c r="E18" s="12"/>
      <c r="F18" s="12"/>
    </row>
    <row r="19" customFormat="false" ht="34" hidden="false" customHeight="true" outlineLevel="0" collapsed="false">
      <c r="A19" s="13" t="s">
        <v>22</v>
      </c>
      <c r="B19" s="13"/>
      <c r="C19" s="13"/>
      <c r="D19" s="13"/>
      <c r="E19" s="13"/>
      <c r="F19" s="13"/>
    </row>
  </sheetData>
  <mergeCells count="24">
    <mergeCell ref="A1:F1"/>
    <mergeCell ref="A2:F2"/>
    <mergeCell ref="A3:F3"/>
    <mergeCell ref="A4:F4"/>
    <mergeCell ref="A6:B6"/>
    <mergeCell ref="C6:D6"/>
    <mergeCell ref="E6:F6"/>
    <mergeCell ref="A7:B7"/>
    <mergeCell ref="C7:D7"/>
    <mergeCell ref="E7:F7"/>
    <mergeCell ref="A9:F9"/>
    <mergeCell ref="A10:B10"/>
    <mergeCell ref="C10:D10"/>
    <mergeCell ref="E10:F10"/>
    <mergeCell ref="A11:B11"/>
    <mergeCell ref="C11:D11"/>
    <mergeCell ref="E11:F11"/>
    <mergeCell ref="A13:F13"/>
    <mergeCell ref="A14:F14"/>
    <mergeCell ref="A15:F15"/>
    <mergeCell ref="A16:F16"/>
    <mergeCell ref="A17:F17"/>
    <mergeCell ref="A18:F18"/>
    <mergeCell ref="A19:F19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9" min="1" style="0" width="14.84"/>
  </cols>
  <sheetData>
    <row r="1" customFormat="false" ht="24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</row>
    <row r="2" customFormat="false" ht="40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34" hidden="false" customHeight="true" outlineLevel="0" collapsed="false">
      <c r="A3" s="14" t="s">
        <v>25</v>
      </c>
      <c r="B3" s="14"/>
      <c r="C3" s="14"/>
      <c r="D3" s="14"/>
      <c r="E3" s="14"/>
      <c r="F3" s="14"/>
      <c r="G3" s="14"/>
      <c r="H3" s="14"/>
      <c r="I3" s="14"/>
    </row>
    <row r="4" customFormat="false" ht="15" hidden="false" customHeight="false" outlineLevel="0" collapsed="false"/>
    <row r="5" customFormat="false" ht="26" hidden="false" customHeight="true" outlineLevel="0" collapsed="false">
      <c r="A5" s="1" t="s">
        <v>26</v>
      </c>
      <c r="B5" s="1"/>
      <c r="C5" s="1"/>
      <c r="D5" s="1" t="s">
        <v>27</v>
      </c>
      <c r="E5" s="1"/>
      <c r="F5" s="1"/>
      <c r="G5" s="1" t="s">
        <v>28</v>
      </c>
      <c r="H5" s="1"/>
      <c r="I5" s="1"/>
    </row>
    <row r="6" customFormat="false" ht="44" hidden="false" customHeight="true" outlineLevel="0" collapsed="false">
      <c r="A6" s="15" t="n">
        <f aca="false">COUNTIF(Precificação!$A$2:$A$21,"&lt;&gt;")</f>
        <v>5</v>
      </c>
      <c r="B6" s="15"/>
      <c r="C6" s="15"/>
      <c r="D6" s="16" t="n">
        <f aca="false">IFERROR(AVERAGEIF(Precificação!$G$2:$G$21,"&gt;0"),0)</f>
        <v>69.375</v>
      </c>
      <c r="E6" s="16"/>
      <c r="F6" s="16"/>
      <c r="G6" s="15" t="n">
        <f aca="false">COUNTIF(Precificação!$H$2:$H$21,"&gt;0")</f>
        <v>0</v>
      </c>
      <c r="H6" s="15"/>
      <c r="I6" s="15"/>
    </row>
    <row r="7" customFormat="false" ht="34" hidden="false" customHeight="true" outlineLevel="0" collapsed="false">
      <c r="A7" s="17" t="s">
        <v>29</v>
      </c>
      <c r="B7" s="17"/>
      <c r="C7" s="17"/>
      <c r="D7" s="17" t="s">
        <v>30</v>
      </c>
      <c r="E7" s="17"/>
      <c r="F7" s="17"/>
      <c r="G7" s="17" t="s">
        <v>31</v>
      </c>
      <c r="H7" s="17"/>
      <c r="I7" s="17"/>
    </row>
    <row r="8" customFormat="false" ht="15" hidden="false" customHeight="false" outlineLevel="0" collapsed="false"/>
    <row r="9" customFormat="false" ht="15" hidden="false" customHeight="false" outlineLevel="0" collapsed="false"/>
    <row r="10" customFormat="false" ht="26" hidden="false" customHeight="true" outlineLevel="0" collapsed="false">
      <c r="A10" s="1" t="s">
        <v>32</v>
      </c>
      <c r="B10" s="1"/>
      <c r="C10" s="1"/>
      <c r="D10" s="1"/>
      <c r="E10" s="1"/>
      <c r="F10" s="1"/>
      <c r="G10" s="1"/>
      <c r="H10" s="1"/>
      <c r="I10" s="1"/>
    </row>
    <row r="11" customFormat="false" ht="42" hidden="false" customHeight="true" outlineLevel="0" collapsed="false">
      <c r="A11" s="18" t="s">
        <v>33</v>
      </c>
      <c r="B11" s="18"/>
      <c r="C11" s="18"/>
      <c r="D11" s="18"/>
      <c r="E11" s="18"/>
      <c r="F11" s="18"/>
      <c r="G11" s="18"/>
      <c r="H11" s="18"/>
      <c r="I11" s="18"/>
    </row>
    <row r="12" customFormat="false" ht="15" hidden="false" customHeight="false" outlineLevel="0" collapsed="false"/>
    <row r="13" customFormat="false" ht="15" hidden="false" customHeight="false" outlineLevel="0" collapsed="false"/>
    <row r="14" customFormat="false" ht="24" hidden="false" customHeight="true" outlineLevel="0" collapsed="false">
      <c r="A14" s="19" t="s">
        <v>34</v>
      </c>
      <c r="B14" s="19"/>
      <c r="C14" s="19"/>
      <c r="D14" s="19"/>
      <c r="E14" s="19"/>
      <c r="F14" s="19"/>
      <c r="G14" s="19"/>
      <c r="H14" s="19"/>
      <c r="I14" s="19"/>
    </row>
    <row r="15" customFormat="false" ht="24" hidden="false" customHeight="true" outlineLevel="0" collapsed="false">
      <c r="A15" s="10" t="s">
        <v>35</v>
      </c>
      <c r="B15" s="10"/>
      <c r="C15" s="10"/>
      <c r="D15" s="10"/>
      <c r="E15" s="10"/>
      <c r="F15" s="10"/>
      <c r="G15" s="10"/>
      <c r="H15" s="10"/>
      <c r="I15" s="10"/>
    </row>
    <row r="16" customFormat="false" ht="24" hidden="false" customHeight="true" outlineLevel="0" collapsed="false">
      <c r="A16" s="10" t="s">
        <v>36</v>
      </c>
      <c r="B16" s="10"/>
      <c r="C16" s="10"/>
      <c r="D16" s="10"/>
      <c r="E16" s="10"/>
      <c r="F16" s="10"/>
      <c r="G16" s="10"/>
      <c r="H16" s="10"/>
      <c r="I16" s="10"/>
    </row>
    <row r="17" customFormat="false" ht="24" hidden="false" customHeight="true" outlineLevel="0" collapsed="false">
      <c r="A17" s="10" t="s">
        <v>37</v>
      </c>
      <c r="B17" s="10"/>
      <c r="C17" s="10"/>
      <c r="D17" s="10"/>
      <c r="E17" s="10"/>
      <c r="F17" s="10"/>
      <c r="G17" s="10"/>
      <c r="H17" s="10"/>
      <c r="I17" s="10"/>
    </row>
  </sheetData>
  <mergeCells count="18">
    <mergeCell ref="A1:I1"/>
    <mergeCell ref="A2:I2"/>
    <mergeCell ref="A3:I3"/>
    <mergeCell ref="A5:C5"/>
    <mergeCell ref="D5:F5"/>
    <mergeCell ref="G5:I5"/>
    <mergeCell ref="A6:C6"/>
    <mergeCell ref="D6:F6"/>
    <mergeCell ref="G6:I6"/>
    <mergeCell ref="A7:C7"/>
    <mergeCell ref="D7:F7"/>
    <mergeCell ref="G7:I7"/>
    <mergeCell ref="A10:I10"/>
    <mergeCell ref="A11:I11"/>
    <mergeCell ref="A14:I14"/>
    <mergeCell ref="A15:I15"/>
    <mergeCell ref="A16:I16"/>
    <mergeCell ref="A17:I17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36.84"/>
    <col collapsed="false" customWidth="true" hidden="false" outlineLevel="0" max="2" min="2" style="0" width="20.84"/>
    <col collapsed="false" customWidth="true" hidden="false" outlineLevel="0" max="3" min="3" style="0" width="42.84"/>
  </cols>
  <sheetData>
    <row r="1" customFormat="false" ht="30" hidden="false" customHeight="true" outlineLevel="0" collapsed="false">
      <c r="A1" s="20" t="s">
        <v>38</v>
      </c>
      <c r="B1" s="20" t="s">
        <v>39</v>
      </c>
      <c r="C1" s="20" t="s">
        <v>40</v>
      </c>
    </row>
    <row r="2" customFormat="false" ht="34" hidden="false" customHeight="true" outlineLevel="0" collapsed="false">
      <c r="A2" s="21" t="s">
        <v>41</v>
      </c>
      <c r="B2" s="22" t="n">
        <v>3200</v>
      </c>
      <c r="C2" s="21" t="s">
        <v>42</v>
      </c>
    </row>
    <row r="3" customFormat="false" ht="34" hidden="false" customHeight="true" outlineLevel="0" collapsed="false">
      <c r="A3" s="6" t="s">
        <v>43</v>
      </c>
      <c r="B3" s="22" t="n">
        <v>800</v>
      </c>
      <c r="C3" s="6" t="s">
        <v>42</v>
      </c>
    </row>
    <row r="4" customFormat="false" ht="34" hidden="false" customHeight="true" outlineLevel="0" collapsed="false">
      <c r="A4" s="21" t="s">
        <v>44</v>
      </c>
      <c r="B4" s="22" t="n">
        <v>500</v>
      </c>
      <c r="C4" s="21" t="s">
        <v>42</v>
      </c>
    </row>
    <row r="5" customFormat="false" ht="34" hidden="false" customHeight="true" outlineLevel="0" collapsed="false">
      <c r="A5" s="6" t="s">
        <v>45</v>
      </c>
      <c r="B5" s="22" t="n">
        <v>12000</v>
      </c>
      <c r="C5" s="6" t="s">
        <v>46</v>
      </c>
    </row>
    <row r="6" customFormat="false" ht="34" hidden="false" customHeight="true" outlineLevel="0" collapsed="false">
      <c r="A6" s="21" t="s">
        <v>47</v>
      </c>
      <c r="B6" s="22" t="n">
        <v>700</v>
      </c>
      <c r="C6" s="21" t="s">
        <v>42</v>
      </c>
    </row>
    <row r="7" customFormat="false" ht="34" hidden="false" customHeight="true" outlineLevel="0" collapsed="false">
      <c r="A7" s="6" t="s">
        <v>48</v>
      </c>
      <c r="B7" s="22" t="n">
        <v>800</v>
      </c>
      <c r="C7" s="6" t="s">
        <v>42</v>
      </c>
    </row>
    <row r="8" customFormat="false" ht="34" hidden="false" customHeight="true" outlineLevel="0" collapsed="false">
      <c r="A8" s="23" t="s">
        <v>49</v>
      </c>
      <c r="B8" s="24" t="n">
        <f aca="false">SUM(B2:B7)</f>
        <v>18000</v>
      </c>
      <c r="C8" s="23"/>
    </row>
    <row r="9" customFormat="false" ht="34" hidden="false" customHeight="true" outlineLevel="0" collapsed="false">
      <c r="A9" s="6" t="s">
        <v>50</v>
      </c>
      <c r="B9" s="25" t="n">
        <v>320</v>
      </c>
      <c r="C9" s="6" t="s">
        <v>51</v>
      </c>
    </row>
    <row r="10" customFormat="false" ht="34" hidden="false" customHeight="true" outlineLevel="0" collapsed="false">
      <c r="A10" s="20" t="s">
        <v>52</v>
      </c>
      <c r="B10" s="26" t="n">
        <f aca="false">IFERROR(B8/(B9*60),0)</f>
        <v>0.9375</v>
      </c>
      <c r="C10" s="20" t="s">
        <v>53</v>
      </c>
    </row>
  </sheetData>
  <dataValidations count="2">
    <dataValidation allowBlank="true" error="O custo não pode ser negativo." errorStyle="stop" errorTitle="Valor inválido" operator="greaterThanOrEqual" showDropDown="false" showErrorMessage="true" showInputMessage="false" sqref="B2:B7" type="decimal">
      <formula1>0</formula1>
      <formula2>0</formula2>
    </dataValidation>
    <dataValidation allowBlank="true" error="Informe uma capacidade mensal maior que zero." errorStyle="stop" errorTitle="Valor inválido" operator="greaterThan" showDropDown="false" showErrorMessage="true" showInputMessage="false" sqref="B9" type="decimal">
      <formula1>0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8.83"/>
    <col collapsed="false" customWidth="true" hidden="false" outlineLevel="0" max="2" min="2" style="0" width="16.84"/>
    <col collapsed="false" customWidth="true" hidden="false" outlineLevel="0" max="3" min="3" style="0" width="18.83"/>
    <col collapsed="false" customWidth="true" hidden="false" outlineLevel="0" max="4" min="4" style="0" width="22.84"/>
    <col collapsed="false" customWidth="true" hidden="false" outlineLevel="0" max="5" min="5" style="0" width="18.83"/>
    <col collapsed="false" customWidth="true" hidden="false" outlineLevel="0" max="7" min="6" style="0" width="20.84"/>
    <col collapsed="false" customWidth="true" hidden="false" outlineLevel="0" max="8" min="8" style="0" width="18.83"/>
    <col collapsed="false" customWidth="true" hidden="false" outlineLevel="0" max="9" min="9" style="0" width="36.84"/>
  </cols>
  <sheetData>
    <row r="1" customFormat="false" ht="30" hidden="false" customHeight="true" outlineLevel="0" collapsed="false">
      <c r="A1" s="20" t="s">
        <v>54</v>
      </c>
      <c r="B1" s="20" t="s">
        <v>55</v>
      </c>
      <c r="C1" s="20" t="s">
        <v>56</v>
      </c>
      <c r="D1" s="20" t="s">
        <v>57</v>
      </c>
      <c r="E1" s="20" t="s">
        <v>58</v>
      </c>
      <c r="F1" s="20" t="s">
        <v>59</v>
      </c>
      <c r="G1" s="20" t="s">
        <v>60</v>
      </c>
      <c r="H1" s="20" t="s">
        <v>61</v>
      </c>
      <c r="I1" s="20" t="s">
        <v>40</v>
      </c>
    </row>
    <row r="2" customFormat="false" ht="34" hidden="false" customHeight="true" outlineLevel="0" collapsed="false">
      <c r="A2" s="27" t="s">
        <v>62</v>
      </c>
      <c r="B2" s="27" t="n">
        <v>40</v>
      </c>
      <c r="C2" s="22" t="n">
        <v>0</v>
      </c>
      <c r="D2" s="28" t="n">
        <f aca="false">IF(OR(A2="",B2=""),"",Custos!$B$10*B2)</f>
        <v>37.5</v>
      </c>
      <c r="E2" s="28" t="n">
        <f aca="false">IF(A2="","",C2+D2)</f>
        <v>37.5</v>
      </c>
      <c r="F2" s="29" t="n">
        <v>0.5</v>
      </c>
      <c r="G2" s="28" t="n">
        <f aca="false">IFERROR(E2/(1-F2),0)</f>
        <v>75</v>
      </c>
      <c r="H2" s="22"/>
      <c r="I2" s="27"/>
    </row>
    <row r="3" customFormat="false" ht="34" hidden="false" customHeight="true" outlineLevel="0" collapsed="false">
      <c r="A3" s="27" t="s">
        <v>63</v>
      </c>
      <c r="B3" s="27" t="n">
        <v>30</v>
      </c>
      <c r="C3" s="22" t="n">
        <v>0</v>
      </c>
      <c r="D3" s="28" t="n">
        <f aca="false">IF(OR(A3="",B3=""),"",Custos!$B$10*B3)</f>
        <v>28.125</v>
      </c>
      <c r="E3" s="28" t="n">
        <f aca="false">IF(A3="","",C3+D3)</f>
        <v>28.125</v>
      </c>
      <c r="F3" s="29" t="n">
        <v>0.5</v>
      </c>
      <c r="G3" s="28" t="n">
        <f aca="false">IFERROR(E3/(1-F3),0)</f>
        <v>56.25</v>
      </c>
      <c r="H3" s="22"/>
      <c r="I3" s="27"/>
    </row>
    <row r="4" customFormat="false" ht="34" hidden="false" customHeight="true" outlineLevel="0" collapsed="false">
      <c r="A4" s="27" t="s">
        <v>64</v>
      </c>
      <c r="B4" s="27" t="n">
        <v>65</v>
      </c>
      <c r="C4" s="22" t="n">
        <v>0</v>
      </c>
      <c r="D4" s="28" t="n">
        <f aca="false">IF(OR(A4="",B4=""),"",Custos!$B$10*B4)</f>
        <v>60.9375</v>
      </c>
      <c r="E4" s="28" t="n">
        <f aca="false">IF(A4="","",C4+D4)</f>
        <v>60.9375</v>
      </c>
      <c r="F4" s="29" t="n">
        <v>0.5</v>
      </c>
      <c r="G4" s="28" t="n">
        <f aca="false">IFERROR(E4/(1-F4),0)</f>
        <v>121.875</v>
      </c>
      <c r="H4" s="22"/>
      <c r="I4" s="27"/>
    </row>
    <row r="5" customFormat="false" ht="34" hidden="false" customHeight="true" outlineLevel="0" collapsed="false">
      <c r="A5" s="27" t="s">
        <v>65</v>
      </c>
      <c r="B5" s="27" t="n">
        <v>20</v>
      </c>
      <c r="C5" s="22" t="n">
        <v>0</v>
      </c>
      <c r="D5" s="28" t="n">
        <f aca="false">IF(OR(A5="",B5=""),"",Custos!$B$10*B5)</f>
        <v>18.75</v>
      </c>
      <c r="E5" s="28" t="n">
        <f aca="false">IF(A5="","",C5+D5)</f>
        <v>18.75</v>
      </c>
      <c r="F5" s="29" t="n">
        <v>0.5</v>
      </c>
      <c r="G5" s="28" t="n">
        <f aca="false">IFERROR(E5/(1-F5),0)</f>
        <v>37.5</v>
      </c>
      <c r="H5" s="22"/>
      <c r="I5" s="27"/>
    </row>
    <row r="6" customFormat="false" ht="34" hidden="false" customHeight="true" outlineLevel="0" collapsed="false">
      <c r="A6" s="27" t="s">
        <v>66</v>
      </c>
      <c r="B6" s="27" t="n">
        <v>30</v>
      </c>
      <c r="C6" s="22" t="n">
        <v>0</v>
      </c>
      <c r="D6" s="28" t="n">
        <f aca="false">IF(OR(A6="",B6=""),"",Custos!$B$10*B6)</f>
        <v>28.125</v>
      </c>
      <c r="E6" s="28" t="n">
        <f aca="false">IF(A6="","",C6+D6)</f>
        <v>28.125</v>
      </c>
      <c r="F6" s="29" t="n">
        <v>0.5</v>
      </c>
      <c r="G6" s="28" t="n">
        <f aca="false">IFERROR(E6/(1-F6),0)</f>
        <v>56.25</v>
      </c>
      <c r="H6" s="22"/>
      <c r="I6" s="27"/>
    </row>
    <row r="7" customFormat="false" ht="34" hidden="false" customHeight="true" outlineLevel="0" collapsed="false">
      <c r="A7" s="27"/>
      <c r="B7" s="27"/>
      <c r="C7" s="22" t="n">
        <v>0</v>
      </c>
      <c r="D7" s="28" t="str">
        <f aca="false">IF(OR(A7="",B7=""),"",Custos!$B$10*B7)</f>
        <v/>
      </c>
      <c r="E7" s="28" t="str">
        <f aca="false">IF(A7="","",C7+D7)</f>
        <v/>
      </c>
      <c r="F7" s="29"/>
      <c r="G7" s="28" t="n">
        <f aca="false">IFERROR(E7/(1-F7),0)</f>
        <v>0</v>
      </c>
      <c r="H7" s="22"/>
      <c r="I7" s="27"/>
    </row>
    <row r="8" customFormat="false" ht="34" hidden="false" customHeight="true" outlineLevel="0" collapsed="false">
      <c r="A8" s="27"/>
      <c r="B8" s="27"/>
      <c r="C8" s="22" t="n">
        <v>0</v>
      </c>
      <c r="D8" s="28" t="str">
        <f aca="false">IF(OR(A8="",B8=""),"",Custos!$B$10*B8)</f>
        <v/>
      </c>
      <c r="E8" s="28" t="str">
        <f aca="false">IF(A8="","",C8+D8)</f>
        <v/>
      </c>
      <c r="F8" s="29"/>
      <c r="G8" s="28" t="n">
        <f aca="false">IFERROR(E8/(1-F8),0)</f>
        <v>0</v>
      </c>
      <c r="H8" s="22"/>
      <c r="I8" s="27"/>
    </row>
    <row r="9" customFormat="false" ht="34" hidden="false" customHeight="true" outlineLevel="0" collapsed="false">
      <c r="A9" s="27"/>
      <c r="B9" s="27"/>
      <c r="C9" s="22" t="n">
        <v>0</v>
      </c>
      <c r="D9" s="28" t="str">
        <f aca="false">IF(OR(A9="",B9=""),"",Custos!$B$10*B9)</f>
        <v/>
      </c>
      <c r="E9" s="28" t="str">
        <f aca="false">IF(A9="","",C9+D9)</f>
        <v/>
      </c>
      <c r="F9" s="29"/>
      <c r="G9" s="28" t="n">
        <f aca="false">IFERROR(E9/(1-F9),0)</f>
        <v>0</v>
      </c>
      <c r="H9" s="22"/>
      <c r="I9" s="27"/>
    </row>
    <row r="10" customFormat="false" ht="34" hidden="false" customHeight="true" outlineLevel="0" collapsed="false">
      <c r="A10" s="27"/>
      <c r="B10" s="27"/>
      <c r="C10" s="22" t="n">
        <v>0</v>
      </c>
      <c r="D10" s="28" t="str">
        <f aca="false">IF(OR(A10="",B10=""),"",Custos!$B$10*B10)</f>
        <v/>
      </c>
      <c r="E10" s="28" t="str">
        <f aca="false">IF(A10="","",C10+D10)</f>
        <v/>
      </c>
      <c r="F10" s="29"/>
      <c r="G10" s="28" t="n">
        <f aca="false">IFERROR(E10/(1-F10),0)</f>
        <v>0</v>
      </c>
      <c r="H10" s="22"/>
      <c r="I10" s="27"/>
    </row>
    <row r="11" customFormat="false" ht="34" hidden="false" customHeight="true" outlineLevel="0" collapsed="false">
      <c r="A11" s="27"/>
      <c r="B11" s="27"/>
      <c r="C11" s="22" t="n">
        <v>0</v>
      </c>
      <c r="D11" s="28" t="str">
        <f aca="false">IF(OR(A11="",B11=""),"",Custos!$B$10*B11)</f>
        <v/>
      </c>
      <c r="E11" s="28" t="str">
        <f aca="false">IF(A11="","",C11+D11)</f>
        <v/>
      </c>
      <c r="F11" s="29"/>
      <c r="G11" s="28" t="n">
        <f aca="false">IFERROR(E11/(1-F11),0)</f>
        <v>0</v>
      </c>
      <c r="H11" s="22"/>
      <c r="I11" s="27"/>
    </row>
    <row r="12" customFormat="false" ht="34" hidden="false" customHeight="true" outlineLevel="0" collapsed="false">
      <c r="A12" s="27"/>
      <c r="B12" s="27"/>
      <c r="C12" s="22" t="n">
        <v>0</v>
      </c>
      <c r="D12" s="28" t="str">
        <f aca="false">IF(OR(A12="",B12=""),"",Custos!$B$10*B12)</f>
        <v/>
      </c>
      <c r="E12" s="28" t="str">
        <f aca="false">IF(A12="","",C12+D12)</f>
        <v/>
      </c>
      <c r="F12" s="29"/>
      <c r="G12" s="28" t="n">
        <f aca="false">IFERROR(E12/(1-F12),0)</f>
        <v>0</v>
      </c>
      <c r="H12" s="22"/>
      <c r="I12" s="27"/>
    </row>
    <row r="13" customFormat="false" ht="34" hidden="false" customHeight="true" outlineLevel="0" collapsed="false">
      <c r="A13" s="27"/>
      <c r="B13" s="27"/>
      <c r="C13" s="22" t="n">
        <v>0</v>
      </c>
      <c r="D13" s="28" t="str">
        <f aca="false">IF(OR(A13="",B13=""),"",Custos!$B$10*B13)</f>
        <v/>
      </c>
      <c r="E13" s="28" t="str">
        <f aca="false">IF(A13="","",C13+D13)</f>
        <v/>
      </c>
      <c r="F13" s="29"/>
      <c r="G13" s="28" t="n">
        <f aca="false">IFERROR(E13/(1-F13),0)</f>
        <v>0</v>
      </c>
      <c r="H13" s="22"/>
      <c r="I13" s="27"/>
    </row>
    <row r="14" customFormat="false" ht="34" hidden="false" customHeight="true" outlineLevel="0" collapsed="false">
      <c r="A14" s="27"/>
      <c r="B14" s="27"/>
      <c r="C14" s="22" t="n">
        <v>0</v>
      </c>
      <c r="D14" s="28" t="str">
        <f aca="false">IF(OR(A14="",B14=""),"",Custos!$B$10*B14)</f>
        <v/>
      </c>
      <c r="E14" s="28" t="str">
        <f aca="false">IF(A14="","",C14+D14)</f>
        <v/>
      </c>
      <c r="F14" s="29"/>
      <c r="G14" s="28" t="n">
        <f aca="false">IFERROR(E14/(1-F14),0)</f>
        <v>0</v>
      </c>
      <c r="H14" s="22"/>
      <c r="I14" s="27"/>
    </row>
    <row r="15" customFormat="false" ht="34" hidden="false" customHeight="true" outlineLevel="0" collapsed="false">
      <c r="A15" s="27"/>
      <c r="B15" s="27"/>
      <c r="C15" s="22" t="n">
        <v>0</v>
      </c>
      <c r="D15" s="28" t="str">
        <f aca="false">IF(OR(A15="",B15=""),"",Custos!$B$10*B15)</f>
        <v/>
      </c>
      <c r="E15" s="28" t="str">
        <f aca="false">IF(A15="","",C15+D15)</f>
        <v/>
      </c>
      <c r="F15" s="29"/>
      <c r="G15" s="28" t="n">
        <f aca="false">IFERROR(E15/(1-F15),0)</f>
        <v>0</v>
      </c>
      <c r="H15" s="22"/>
      <c r="I15" s="27"/>
    </row>
    <row r="16" customFormat="false" ht="34" hidden="false" customHeight="true" outlineLevel="0" collapsed="false">
      <c r="A16" s="27"/>
      <c r="B16" s="27"/>
      <c r="C16" s="22" t="n">
        <v>0</v>
      </c>
      <c r="D16" s="28" t="str">
        <f aca="false">IF(OR(A16="",B16=""),"",Custos!$B$10*B16)</f>
        <v/>
      </c>
      <c r="E16" s="28" t="str">
        <f aca="false">IF(A16="","",C16+D16)</f>
        <v/>
      </c>
      <c r="F16" s="29"/>
      <c r="G16" s="28" t="n">
        <f aca="false">IFERROR(E16/(1-F16),0)</f>
        <v>0</v>
      </c>
      <c r="H16" s="22"/>
      <c r="I16" s="27"/>
    </row>
    <row r="17" customFormat="false" ht="34" hidden="false" customHeight="true" outlineLevel="0" collapsed="false">
      <c r="A17" s="27"/>
      <c r="B17" s="27"/>
      <c r="C17" s="22" t="n">
        <v>0</v>
      </c>
      <c r="D17" s="28" t="str">
        <f aca="false">IF(OR(A17="",B17=""),"",Custos!$B$10*B17)</f>
        <v/>
      </c>
      <c r="E17" s="28" t="str">
        <f aca="false">IF(A17="","",C17+D17)</f>
        <v/>
      </c>
      <c r="F17" s="29"/>
      <c r="G17" s="28" t="n">
        <f aca="false">IFERROR(E17/(1-F17),0)</f>
        <v>0</v>
      </c>
      <c r="H17" s="22"/>
      <c r="I17" s="27"/>
    </row>
    <row r="18" customFormat="false" ht="34" hidden="false" customHeight="true" outlineLevel="0" collapsed="false">
      <c r="A18" s="27"/>
      <c r="B18" s="27"/>
      <c r="C18" s="22" t="n">
        <v>0</v>
      </c>
      <c r="D18" s="28" t="str">
        <f aca="false">IF(OR(A18="",B18=""),"",Custos!$B$10*B18)</f>
        <v/>
      </c>
      <c r="E18" s="28" t="str">
        <f aca="false">IF(A18="","",C18+D18)</f>
        <v/>
      </c>
      <c r="F18" s="29"/>
      <c r="G18" s="28" t="n">
        <f aca="false">IFERROR(E18/(1-F18),0)</f>
        <v>0</v>
      </c>
      <c r="H18" s="22"/>
      <c r="I18" s="27"/>
    </row>
    <row r="19" customFormat="false" ht="34" hidden="false" customHeight="true" outlineLevel="0" collapsed="false">
      <c r="A19" s="27"/>
      <c r="B19" s="27"/>
      <c r="C19" s="22" t="n">
        <v>0</v>
      </c>
      <c r="D19" s="28" t="str">
        <f aca="false">IF(OR(A19="",B19=""),"",Custos!$B$10*B19)</f>
        <v/>
      </c>
      <c r="E19" s="28" t="str">
        <f aca="false">IF(A19="","",C19+D19)</f>
        <v/>
      </c>
      <c r="F19" s="29"/>
      <c r="G19" s="28" t="n">
        <f aca="false">IFERROR(E19/(1-F19),0)</f>
        <v>0</v>
      </c>
      <c r="H19" s="22"/>
      <c r="I19" s="27"/>
    </row>
    <row r="20" customFormat="false" ht="34" hidden="false" customHeight="true" outlineLevel="0" collapsed="false">
      <c r="A20" s="27"/>
      <c r="B20" s="27"/>
      <c r="C20" s="22" t="n">
        <v>0</v>
      </c>
      <c r="D20" s="28" t="str">
        <f aca="false">IF(OR(A20="",B20=""),"",Custos!$B$10*B20)</f>
        <v/>
      </c>
      <c r="E20" s="28" t="str">
        <f aca="false">IF(A20="","",C20+D20)</f>
        <v/>
      </c>
      <c r="F20" s="29"/>
      <c r="G20" s="28" t="n">
        <f aca="false">IFERROR(E20/(1-F20),0)</f>
        <v>0</v>
      </c>
      <c r="H20" s="22"/>
      <c r="I20" s="27"/>
    </row>
    <row r="21" customFormat="false" ht="34" hidden="false" customHeight="true" outlineLevel="0" collapsed="false">
      <c r="A21" s="27"/>
      <c r="B21" s="27"/>
      <c r="C21" s="22" t="n">
        <v>0</v>
      </c>
      <c r="D21" s="28" t="str">
        <f aca="false">IF(OR(A21="",B21=""),"",Custos!$B$10*B21)</f>
        <v/>
      </c>
      <c r="E21" s="28" t="str">
        <f aca="false">IF(A21="","",C21+D21)</f>
        <v/>
      </c>
      <c r="F21" s="29"/>
      <c r="G21" s="28" t="n">
        <f aca="false">IFERROR(E21/(1-F21),0)</f>
        <v>0</v>
      </c>
      <c r="H21" s="22"/>
      <c r="I21" s="27"/>
    </row>
  </sheetData>
  <autoFilter ref="A1:I21"/>
  <dataValidations count="3">
    <dataValidation allowBlank="true" error="Informe uma duração entre 1 e 480 minutos." errorStyle="stop" errorTitle="Valor inválido" operator="between" showDropDown="false" showErrorMessage="true" showInputMessage="false" sqref="B2:B21" type="whole">
      <formula1>1</formula1>
      <formula2>480</formula2>
    </dataValidation>
    <dataValidation allowBlank="true" error="O valor não pode ser negativo." errorStyle="stop" errorTitle="Valor inválido" operator="greaterThanOrEqual" showDropDown="false" showErrorMessage="true" showInputMessage="false" sqref="C2:C21 H2:H21" type="decimal">
      <formula1>0</formula1>
      <formula2>0</formula2>
    </dataValidation>
    <dataValidation allowBlank="true" error="Informe uma margem entre 0% e 95%." errorStyle="stop" errorTitle="Valor inválido" operator="between" showDropDown="false" showErrorMessage="true" showInputMessage="false" sqref="F2:F21" type="decimal">
      <formula1>0</formula1>
      <formula2>0.95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Flowo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2026-08-23T12:00:00Z</dcterms:created>
  <dc:creator>Flowo</dc:creator>
  <dc:description>Gerado por scripts/generate-premium-materials.mjs</dc:description>
  <dc:language>en-US</dc:language>
  <cp:lastModifiedBy/>
  <cp:revision>0</cp:revision>
  <dc:subject>Material educativo para gestão de barbearias</dc:subject>
  <dc:title>Planilha de precificação da barbearia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