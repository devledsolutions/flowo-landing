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 primeiro" sheetId="1" state="visible" r:id="rId3"/>
    <sheet name="Configuração" sheetId="2" state="visible" r:id="rId4"/>
    <sheet name="Atendimentos" sheetId="3" state="visible" r:id="rId5"/>
    <sheet name="Resumo" sheetId="4" state="visible" r:id="rId6"/>
  </sheets>
  <definedNames>
    <definedName function="false" hidden="false" localSheetId="2" name="_xlnm.Print_Area" vbProcedure="false">Atendimentos!$A$1:$I$101</definedName>
    <definedName function="false" hidden="true" localSheetId="2" name="_xlnm._FilterDatabase" vbProcedure="false">Atendimentos!$A$1:$I$101</definedName>
    <definedName function="false" hidden="false" localSheetId="1" name="_xlnm.Print_Area" vbProcedure="false">Configuração!$A$1:$F$13</definedName>
    <definedName function="false" hidden="true" localSheetId="1" name="_xlnm._FilterDatabase" vbProcedure="false">Configuração!$A$1:$F$13</definedName>
    <definedName function="false" hidden="false" localSheetId="0" name="_xlnm.Print_Area" vbProcedure="false">'Leia primeiro'!$A$1:$F$16</definedName>
    <definedName function="false" hidden="false" localSheetId="3" name="_xlnm.Print_Area" vbProcedure="false">Resumo!$A$1:$F$14</definedName>
    <definedName function="false" hidden="true" localSheetId="3" name="_xlnm._FilterDatabase" vbProcedure="false">Resumo!$A$1:$F$14</definedName>
    <definedName function="false" hidden="false" name="ListaProfissionais" vbProcedure="false">Configuração!$A$2:$A$13</definedName>
    <definedName function="false" hidden="false" localSheetId="1" name="_xlnm._FilterDatabase" vbProcedure="false">Configuração!A1:F13</definedName>
    <definedName function="false" hidden="false" localSheetId="2" name="_xlnm._FilterDatabase" vbProcedure="false">Atendimentos!A1:I101</definedName>
    <definedName function="false" hidden="false" localSheetId="3" name="_xlnm._FilterDatabase" vbProcedure="false">Resumo!A1:F14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<sst xmlns="http://schemas.openxmlformats.org/spreadsheetml/2006/main" count="62" uniqueCount="46">
  <si>
    <t xml:space="preserve">MATERIAL PRÁTICO FLOWO</t>
  </si>
  <si>
    <t xml:space="preserve">Planilha de comissões por profissional</t>
  </si>
  <si>
    <t xml:space="preserve">Registre atendimentos e calcule comissões conforme regras definidas pela barbearia.</t>
  </si>
  <si>
    <t xml:space="preserve">flowo.com.br</t>
  </si>
  <si>
    <t xml:space="preserve">COMO USAR</t>
  </si>
  <si>
    <t xml:space="preserve">1. Cadastre profissionais e percentuais na aba Configuração.</t>
  </si>
  <si>
    <t xml:space="preserve">2. Registre cada atendimento e marque o status correto.</t>
  </si>
  <si>
    <t xml:space="preserve">3. Confira no Resumo somente atendimentos concluídos antes de pagar.</t>
  </si>
  <si>
    <t xml:space="preserve">ANTES DE COMEÇAR</t>
  </si>
  <si>
    <t xml:space="preserve">• Cancelados, estornados e não elegíveis ficam fora de faturamento e comissão.</t>
  </si>
  <si>
    <t xml:space="preserve">• Percentuais, vínculo, impostos, descontos e verbas devem seguir contrato e orientação contábil/trabalhista.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</si>
  <si>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</si>
  <si>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</si>
  <si>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Profissional</t>
  </si>
  <si>
    <t xml:space="preserve">% comissão</t>
  </si>
  <si>
    <t xml:space="preserve">Fixo no período (R$)</t>
  </si>
  <si>
    <t xml:space="preserve">Regra/contrato</t>
  </si>
  <si>
    <t xml:space="preserve">Vigência</t>
  </si>
  <si>
    <t xml:space="preserve">Observações</t>
  </si>
  <si>
    <t xml:space="preserve">Profissional 1</t>
  </si>
  <si>
    <t xml:space="preserve">Preencher</t>
  </si>
  <si>
    <t xml:space="preserve">2026</t>
  </si>
  <si>
    <t xml:space="preserve">Profissional 2</t>
  </si>
  <si>
    <t xml:space="preserve">Profissional 3</t>
  </si>
  <si>
    <t xml:space="preserve">Data</t>
  </si>
  <si>
    <t xml:space="preserve">Serviço</t>
  </si>
  <si>
    <t xml:space="preserve">Valor (R$)</t>
  </si>
  <si>
    <t xml:space="preserve">Comissão elegível (R$)</t>
  </si>
  <si>
    <t xml:space="preserve">Status</t>
  </si>
  <si>
    <t xml:space="preserve">Validação</t>
  </si>
  <si>
    <t xml:space="preserve">Corte</t>
  </si>
  <si>
    <t xml:space="preserve">Concluído</t>
  </si>
  <si>
    <t xml:space="preserve">Corte + barba</t>
  </si>
  <si>
    <t xml:space="preserve">Barba</t>
  </si>
  <si>
    <t xml:space="preserve">Acabamento</t>
  </si>
  <si>
    <t xml:space="preserve">Cancelado</t>
  </si>
  <si>
    <t xml:space="preserve">Tratamento</t>
  </si>
  <si>
    <t xml:space="preserve">Estornado</t>
  </si>
  <si>
    <t xml:space="preserve">Atendimento não elegível</t>
  </si>
  <si>
    <t xml:space="preserve">Não elegível</t>
  </si>
  <si>
    <t xml:space="preserve">Atendimentos</t>
  </si>
  <si>
    <t xml:space="preserve">Faturamento (R$)</t>
  </si>
  <si>
    <t xml:space="preserve">Comissão variável (R$)</t>
  </si>
  <si>
    <t xml:space="preserve">Fixo (R$)</t>
  </si>
  <si>
    <t xml:space="preserve">Total a pagar (R$)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</si>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</sst>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&quot;R$ &quot;#,##0.00"/>
    <numFmt numFmtId="167" formatCode="dd/mm/yyyy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0"/>
      <color rgb="FF171810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BF9F3"/>
      </patternFill>
    </fill>
    <fill>
      <patternFill patternType="solid">
        <fgColor rgb="FFFBF9F3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6"/>
      <rgbColor rgb="FF808080"/>
      <rgbColor rgb="FF9999FF"/>
      <rgbColor rgb="FF993366"/>
      <rgbColor rgb="FFF4F0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2.84"/>
    <col collapsed="false" customWidth="true" hidden="false" outlineLevel="0" max="6" min="2" style="0" width="18.83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4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3" t="s">
        <v>3</v>
      </c>
      <c r="B4" s="3"/>
      <c r="C4" s="3"/>
      <c r="D4" s="3"/>
      <c r="E4" s="3"/>
      <c r="F4" s="3"/>
    </row>
    <row r="5" customFormat="false" ht="10" hidden="false" customHeight="true" outlineLevel="0" collapsed="false">
      <c r="A5" s="4"/>
      <c r="B5" s="4"/>
      <c r="C5" s="4"/>
      <c r="D5" s="4"/>
      <c r="E5" s="4"/>
      <c r="F5" s="4"/>
    </row>
    <row r="6" customFormat="false" ht="28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4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34" hidden="false" customHeight="true" outlineLevel="0" collapsed="false">
      <c r="A8" s="6" t="s">
        <v>6</v>
      </c>
      <c r="B8" s="6"/>
      <c r="C8" s="6"/>
      <c r="D8" s="6"/>
      <c r="E8" s="6"/>
      <c r="F8" s="6"/>
    </row>
    <row r="9" customFormat="false" ht="34" hidden="false" customHeight="true" outlineLevel="0" collapsed="false">
      <c r="A9" s="6" t="s">
        <v>7</v>
      </c>
      <c r="B9" s="6"/>
      <c r="C9" s="6"/>
      <c r="D9" s="6"/>
      <c r="E9" s="6"/>
      <c r="F9" s="6"/>
    </row>
    <row r="10" customFormat="false" ht="10" hidden="false" customHeight="true" outlineLevel="0" collapsed="false">
      <c r="A10" s="6"/>
      <c r="B10" s="6"/>
      <c r="C10" s="6"/>
      <c r="D10" s="6"/>
      <c r="E10" s="6"/>
      <c r="F10" s="6"/>
    </row>
    <row r="11" customFormat="false" ht="28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34" hidden="false" customHeight="true" outlineLevel="0" collapsed="false">
      <c r="A12" s="7" t="s">
        <v>9</v>
      </c>
      <c r="B12" s="7"/>
      <c r="C12" s="7"/>
      <c r="D12" s="7"/>
      <c r="E12" s="7"/>
      <c r="F12" s="7"/>
    </row>
    <row r="13" customFormat="false" ht="48" hidden="false" customHeight="true" outlineLevel="0" collapsed="false">
      <c r="A13" s="7" t="s">
        <v>10</v>
      </c>
      <c r="B13" s="7"/>
      <c r="C13" s="7"/>
      <c r="D13" s="7"/>
      <c r="E13" s="7"/>
      <c r="F13" s="7"/>
    </row>
    <row r="14" customFormat="false" ht="10" hidden="false" customHeight="true" outlineLevel="0" collapsed="false">
      <c r="A14" s="6"/>
      <c r="B14" s="6"/>
      <c r="C14" s="6"/>
      <c r="D14" s="6"/>
      <c r="E14" s="6"/>
      <c r="F14" s="6"/>
    </row>
    <row r="15" customFormat="false" ht="28" hidden="false" customHeight="true" outlineLevel="0" collapsed="false">
      <c r="A15" s="5" t="s">
        <v>11</v>
      </c>
      <c r="B15" s="5"/>
      <c r="C15" s="5"/>
      <c r="D15" s="5"/>
      <c r="E15" s="5"/>
      <c r="F15" s="5"/>
    </row>
    <row r="16" customFormat="false" ht="48" hidden="false" customHeight="true" outlineLevel="0" collapsed="false">
      <c r="A16" s="6" t="s">
        <v>12</v>
      </c>
      <c r="B16" s="6"/>
      <c r="C16" s="6"/>
      <c r="D16" s="6"/>
      <c r="E16" s="6"/>
      <c r="F16" s="6"/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4.84"/>
    <col collapsed="false" customWidth="true" hidden="false" outlineLevel="0" max="2" min="2" style="0" width="16.84"/>
    <col collapsed="false" customWidth="true" hidden="false" outlineLevel="0" max="3" min="3" style="0" width="24.84"/>
    <col collapsed="false" customWidth="true" hidden="false" outlineLevel="0" max="4" min="4" style="0" width="28.83"/>
    <col collapsed="false" customWidth="true" hidden="false" outlineLevel="0" max="5" min="5" style="0" width="14.84"/>
    <col collapsed="false" customWidth="true" hidden="false" outlineLevel="0" max="6" min="6" style="0" width="38.83"/>
  </cols>
  <sheetData>
    <row r="1" customFormat="false" ht="30" hidden="false" customHeight="tru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</row>
    <row r="2" customFormat="false" ht="34" hidden="false" customHeight="true" outlineLevel="0" collapsed="false">
      <c r="A2" s="9" t="s">
        <v>19</v>
      </c>
      <c r="B2" s="10" t="n">
        <v>0.5</v>
      </c>
      <c r="C2" s="11" t="n">
        <v>0</v>
      </c>
      <c r="D2" s="9" t="s">
        <v>20</v>
      </c>
      <c r="E2" s="9" t="s">
        <v>21</v>
      </c>
      <c r="F2" s="9"/>
    </row>
    <row r="3" customFormat="false" ht="34" hidden="false" customHeight="true" outlineLevel="0" collapsed="false">
      <c r="A3" s="12" t="s">
        <v>22</v>
      </c>
      <c r="B3" s="13" t="n">
        <v>0.45</v>
      </c>
      <c r="C3" s="14" t="n">
        <v>0</v>
      </c>
      <c r="D3" s="12" t="s">
        <v>20</v>
      </c>
      <c r="E3" s="12" t="s">
        <v>21</v>
      </c>
      <c r="F3" s="12"/>
    </row>
    <row r="4" customFormat="false" ht="34" hidden="false" customHeight="true" outlineLevel="0" collapsed="false">
      <c r="A4" s="9" t="s">
        <v>23</v>
      </c>
      <c r="B4" s="10" t="n">
        <v>0.4</v>
      </c>
      <c r="C4" s="11" t="n">
        <v>0</v>
      </c>
      <c r="D4" s="9" t="s">
        <v>20</v>
      </c>
      <c r="E4" s="9" t="s">
        <v>21</v>
      </c>
      <c r="F4" s="9"/>
    </row>
    <row r="5" customFormat="false" ht="34" hidden="false" customHeight="true" outlineLevel="0" collapsed="false">
      <c r="A5" s="12"/>
      <c r="B5" s="13"/>
      <c r="C5" s="14"/>
      <c r="D5" s="12"/>
      <c r="E5" s="12"/>
      <c r="F5" s="12"/>
    </row>
    <row r="6" customFormat="false" ht="34" hidden="false" customHeight="true" outlineLevel="0" collapsed="false">
      <c r="A6" s="9"/>
      <c r="B6" s="10"/>
      <c r="C6" s="11"/>
      <c r="D6" s="9"/>
      <c r="E6" s="9"/>
      <c r="F6" s="9"/>
    </row>
    <row r="7" customFormat="false" ht="34" hidden="false" customHeight="true" outlineLevel="0" collapsed="false">
      <c r="A7" s="12"/>
      <c r="B7" s="13"/>
      <c r="C7" s="14"/>
      <c r="D7" s="12"/>
      <c r="E7" s="12"/>
      <c r="F7" s="12"/>
    </row>
    <row r="8" customFormat="false" ht="34" hidden="false" customHeight="true" outlineLevel="0" collapsed="false">
      <c r="A8" s="9"/>
      <c r="B8" s="10"/>
      <c r="C8" s="11"/>
      <c r="D8" s="9"/>
      <c r="E8" s="9"/>
      <c r="F8" s="9"/>
    </row>
    <row r="9" customFormat="false" ht="34" hidden="false" customHeight="true" outlineLevel="0" collapsed="false">
      <c r="A9" s="12"/>
      <c r="B9" s="13"/>
      <c r="C9" s="14"/>
      <c r="D9" s="12"/>
      <c r="E9" s="12"/>
      <c r="F9" s="12"/>
    </row>
    <row r="10" customFormat="false" ht="34" hidden="false" customHeight="true" outlineLevel="0" collapsed="false">
      <c r="A10" s="9"/>
      <c r="B10" s="10"/>
      <c r="C10" s="11"/>
      <c r="D10" s="9"/>
      <c r="E10" s="9"/>
      <c r="F10" s="9"/>
    </row>
    <row r="11" customFormat="false" ht="34" hidden="false" customHeight="true" outlineLevel="0" collapsed="false">
      <c r="A11" s="12"/>
      <c r="B11" s="13"/>
      <c r="C11" s="14"/>
      <c r="D11" s="12"/>
      <c r="E11" s="12"/>
      <c r="F11" s="12"/>
    </row>
    <row r="12" customFormat="false" ht="34" hidden="false" customHeight="true" outlineLevel="0" collapsed="false">
      <c r="A12" s="9"/>
      <c r="B12" s="10"/>
      <c r="C12" s="11"/>
      <c r="D12" s="9"/>
      <c r="E12" s="9"/>
      <c r="F12" s="9"/>
    </row>
    <row r="13" customFormat="false" ht="34" hidden="false" customHeight="true" outlineLevel="0" collapsed="false">
      <c r="A13" s="12"/>
      <c r="B13" s="13"/>
      <c r="C13" s="14"/>
      <c r="D13" s="12"/>
      <c r="E13" s="12"/>
      <c r="F13" s="12"/>
    </row>
  </sheetData>
  <autoFilter ref="A1:F13"/>
  <dataValidations count="3">
    <dataValidation allowBlank="true" error="Cada profissional deve aparecer apenas uma vez." errorStyle="stop" errorTitle="Valor inválido" operator="between" showDropDown="false" showErrorMessage="true" showInputMessage="false" sqref="A2:A13" type="custom">
      <formula1>OR(A2="",COUNTIF($A$2:$A$13,A2)=1)</formula1>
      <formula2>0</formula2>
    </dataValidation>
    <dataValidation allowBlank="true" error="Informe um percentual entre 0% e 100%." errorStyle="stop" errorTitle="Valor inválido" operator="between" showDropDown="false" showErrorMessage="true" showInputMessage="false" sqref="B2:B13" type="decimal">
      <formula1>0</formula1>
      <formula2>1</formula2>
    </dataValidation>
    <dataValidation allowBlank="true" error="O valor fixo não pode ser negativo." errorStyle="stop" errorTitle="Valor inválido" operator="greaterThanOrEqual" showDropDown="false" showErrorMessage="true" showInputMessage="false" sqref="C2:C13" type="decimal">
      <formula1>0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4.84"/>
    <col collapsed="false" customWidth="true" hidden="false" outlineLevel="0" max="2" min="2" style="0" width="24.84"/>
    <col collapsed="false" customWidth="true" hidden="false" outlineLevel="0" max="3" min="3" style="0" width="28.83"/>
    <col collapsed="false" customWidth="true" hidden="false" outlineLevel="0" max="5" min="4" style="0" width="16.84"/>
    <col collapsed="false" customWidth="true" hidden="false" outlineLevel="0" max="6" min="6" style="0" width="22.84"/>
    <col collapsed="false" customWidth="true" hidden="false" outlineLevel="0" max="7" min="7" style="0" width="18.83"/>
    <col collapsed="false" customWidth="true" hidden="false" outlineLevel="0" max="8" min="8" style="0" width="30.84"/>
    <col collapsed="false" customWidth="true" hidden="false" outlineLevel="0" max="9" min="9" style="0" width="34.84"/>
  </cols>
  <sheetData>
    <row r="1" customFormat="false" ht="30" hidden="false" customHeight="true" outlineLevel="0" collapsed="false">
      <c r="A1" s="8" t="s">
        <v>24</v>
      </c>
      <c r="B1" s="8" t="s">
        <v>13</v>
      </c>
      <c r="C1" s="8" t="s">
        <v>25</v>
      </c>
      <c r="D1" s="8" t="s">
        <v>26</v>
      </c>
      <c r="E1" s="8" t="s">
        <v>14</v>
      </c>
      <c r="F1" s="8" t="s">
        <v>27</v>
      </c>
      <c r="G1" s="8" t="s">
        <v>28</v>
      </c>
      <c r="H1" s="8" t="s">
        <v>18</v>
      </c>
      <c r="I1" s="8" t="s">
        <v>29</v>
      </c>
    </row>
    <row r="2" customFormat="false" ht="34" hidden="false" customHeight="true" outlineLevel="0" collapsed="false">
      <c r="A2" s="15" t="n">
        <v>46235</v>
      </c>
      <c r="B2" s="9" t="s">
        <v>19</v>
      </c>
      <c r="C2" s="9" t="s">
        <v>30</v>
      </c>
      <c r="D2" s="11" t="n">
        <v>60</v>
      </c>
      <c r="E2" s="10" t="n">
        <f aca="false">IF(B2="","",IFERROR(VLOOKUP(B2,Configuração!$A$2:$C$13,2,FALSE()),""))</f>
        <v>0.5</v>
      </c>
      <c r="F2" s="11" t="n">
        <f aca="false">IF(OR(B2="",G2&lt;&gt;"Concluído",COUNTIF(Configuração!$A$2:$A$13,B2)=0,NOT(ISNUMBER(E2))),0,D2*E2)</f>
        <v>30</v>
      </c>
      <c r="G2" s="9" t="s">
        <v>31</v>
      </c>
      <c r="H2" s="9"/>
      <c r="I2" s="9" t="str">
        <f aca="false">IF(B2="","",IF(COUNTIF(Configuração!$A$2:$A$13,B2)=0,"ERRO: profissional não cadastrado",IF(G2="Concluído","Elegível","Excluído do cálculo")))</f>
        <v>Elegível</v>
      </c>
    </row>
    <row r="3" customFormat="false" ht="34" hidden="false" customHeight="true" outlineLevel="0" collapsed="false">
      <c r="A3" s="16" t="n">
        <v>46236</v>
      </c>
      <c r="B3" s="12" t="s">
        <v>22</v>
      </c>
      <c r="C3" s="12" t="s">
        <v>32</v>
      </c>
      <c r="D3" s="14" t="n">
        <v>95</v>
      </c>
      <c r="E3" s="13" t="n">
        <f aca="false">IF(B3="","",IFERROR(VLOOKUP(B3,Configuração!$A$2:$C$13,2,FALSE()),""))</f>
        <v>0.45</v>
      </c>
      <c r="F3" s="14" t="n">
        <f aca="false">IF(OR(B3="",G3&lt;&gt;"Concluído",COUNTIF(Configuração!$A$2:$A$13,B3)=0,NOT(ISNUMBER(E3))),0,D3*E3)</f>
        <v>42.75</v>
      </c>
      <c r="G3" s="12" t="s">
        <v>31</v>
      </c>
      <c r="H3" s="12"/>
      <c r="I3" s="12" t="str">
        <f aca="false">IF(B3="","",IF(COUNTIF(Configuração!$A$2:$A$13,B3)=0,"ERRO: profissional não cadastrado",IF(G3="Concluído","Elegível","Excluído do cálculo")))</f>
        <v>Elegível</v>
      </c>
    </row>
    <row r="4" customFormat="false" ht="34" hidden="false" customHeight="true" outlineLevel="0" collapsed="false">
      <c r="A4" s="15" t="n">
        <v>46237</v>
      </c>
      <c r="B4" s="9" t="s">
        <v>23</v>
      </c>
      <c r="C4" s="9" t="s">
        <v>33</v>
      </c>
      <c r="D4" s="11" t="n">
        <v>45</v>
      </c>
      <c r="E4" s="10" t="n">
        <f aca="false">IF(B4="","",IFERROR(VLOOKUP(B4,Configuração!$A$2:$C$13,2,FALSE()),""))</f>
        <v>0.4</v>
      </c>
      <c r="F4" s="11" t="n">
        <f aca="false">IF(OR(B4="",G4&lt;&gt;"Concluído",COUNTIF(Configuração!$A$2:$A$13,B4)=0,NOT(ISNUMBER(E4))),0,D4*E4)</f>
        <v>18</v>
      </c>
      <c r="G4" s="9" t="s">
        <v>31</v>
      </c>
      <c r="H4" s="9"/>
      <c r="I4" s="9" t="str">
        <f aca="false">IF(B4="","",IF(COUNTIF(Configuração!$A$2:$A$13,B4)=0,"ERRO: profissional não cadastrado",IF(G4="Concluído","Elegível","Excluído do cálculo")))</f>
        <v>Elegível</v>
      </c>
    </row>
    <row r="5" customFormat="false" ht="34" hidden="false" customHeight="true" outlineLevel="0" collapsed="false">
      <c r="A5" s="16" t="n">
        <v>46238</v>
      </c>
      <c r="B5" s="12" t="s">
        <v>19</v>
      </c>
      <c r="C5" s="12" t="s">
        <v>34</v>
      </c>
      <c r="D5" s="14" t="n">
        <v>25</v>
      </c>
      <c r="E5" s="13" t="n">
        <f aca="false">IF(B5="","",IFERROR(VLOOKUP(B5,Configuração!$A$2:$C$13,2,FALSE()),""))</f>
        <v>0.5</v>
      </c>
      <c r="F5" s="14" t="n">
        <f aca="false">IF(OR(B5="",G5&lt;&gt;"Concluído",COUNTIF(Configuração!$A$2:$A$13,B5)=0,NOT(ISNUMBER(E5))),0,D5*E5)</f>
        <v>0</v>
      </c>
      <c r="G5" s="12" t="s">
        <v>35</v>
      </c>
      <c r="H5" s="12"/>
      <c r="I5" s="12" t="str">
        <f aca="false">IF(B5="","",IF(COUNTIF(Configuração!$A$2:$A$13,B5)=0,"ERRO: profissional não cadastrado",IF(G5="Concluído","Elegível","Excluído do cálculo")))</f>
        <v>Excluído do cálculo</v>
      </c>
    </row>
    <row r="6" customFormat="false" ht="34" hidden="false" customHeight="true" outlineLevel="0" collapsed="false">
      <c r="A6" s="15" t="n">
        <v>46239</v>
      </c>
      <c r="B6" s="9" t="s">
        <v>22</v>
      </c>
      <c r="C6" s="9" t="s">
        <v>36</v>
      </c>
      <c r="D6" s="11" t="n">
        <v>70</v>
      </c>
      <c r="E6" s="10" t="n">
        <f aca="false">IF(B6="","",IFERROR(VLOOKUP(B6,Configuração!$A$2:$C$13,2,FALSE()),""))</f>
        <v>0.45</v>
      </c>
      <c r="F6" s="11" t="n">
        <f aca="false">IF(OR(B6="",G6&lt;&gt;"Concluído",COUNTIF(Configuração!$A$2:$A$13,B6)=0,NOT(ISNUMBER(E6))),0,D6*E6)</f>
        <v>0</v>
      </c>
      <c r="G6" s="9" t="s">
        <v>37</v>
      </c>
      <c r="H6" s="9"/>
      <c r="I6" s="9" t="str">
        <f aca="false">IF(B6="","",IF(COUNTIF(Configuração!$A$2:$A$13,B6)=0,"ERRO: profissional não cadastrado",IF(G6="Concluído","Elegível","Excluído do cálculo")))</f>
        <v>Excluído do cálculo</v>
      </c>
    </row>
    <row r="7" customFormat="false" ht="34" hidden="false" customHeight="true" outlineLevel="0" collapsed="false">
      <c r="A7" s="16" t="n">
        <v>46240</v>
      </c>
      <c r="B7" s="12" t="s">
        <v>23</v>
      </c>
      <c r="C7" s="12" t="s">
        <v>38</v>
      </c>
      <c r="D7" s="14" t="n">
        <v>30</v>
      </c>
      <c r="E7" s="13" t="n">
        <f aca="false">IF(B7="","",IFERROR(VLOOKUP(B7,Configuração!$A$2:$C$13,2,FALSE()),""))</f>
        <v>0.4</v>
      </c>
      <c r="F7" s="14" t="n">
        <f aca="false">IF(OR(B7="",G7&lt;&gt;"Concluído",COUNTIF(Configuração!$A$2:$A$13,B7)=0,NOT(ISNUMBER(E7))),0,D7*E7)</f>
        <v>0</v>
      </c>
      <c r="G7" s="12" t="s">
        <v>39</v>
      </c>
      <c r="H7" s="12"/>
      <c r="I7" s="12" t="str">
        <f aca="false">IF(B7="","",IF(COUNTIF(Configuração!$A$2:$A$13,B7)=0,"ERRO: profissional não cadastrado",IF(G7="Concluído","Elegível","Excluído do cálculo")))</f>
        <v>Excluído do cálculo</v>
      </c>
    </row>
    <row r="8" customFormat="false" ht="34" hidden="false" customHeight="true" outlineLevel="0" collapsed="false">
      <c r="A8" s="15"/>
      <c r="B8" s="9"/>
      <c r="C8" s="9"/>
      <c r="D8" s="11"/>
      <c r="E8" s="10" t="str">
        <f aca="false">IF(B8="","",IFERROR(VLOOKUP(B8,Configuração!$A$2:$C$13,2,FALSE()),""))</f>
        <v/>
      </c>
      <c r="F8" s="11" t="n">
        <f aca="false">IF(OR(B8="",G8&lt;&gt;"Concluído",COUNTIF(Configuração!$A$2:$A$13,B8)=0,NOT(ISNUMBER(E8))),0,D8*E8)</f>
        <v>0</v>
      </c>
      <c r="G8" s="9"/>
      <c r="H8" s="9"/>
      <c r="I8" s="9" t="str">
        <f aca="false">IF(B8="","",IF(COUNTIF(Configuração!$A$2:$A$13,B8)=0,"ERRO: profissional não cadastrado",IF(G8="Concluído","Elegível","Excluído do cálculo")))</f>
        <v/>
      </c>
    </row>
    <row r="9" customFormat="false" ht="34" hidden="false" customHeight="true" outlineLevel="0" collapsed="false">
      <c r="A9" s="16"/>
      <c r="B9" s="12"/>
      <c r="C9" s="12"/>
      <c r="D9" s="14"/>
      <c r="E9" s="13" t="str">
        <f aca="false">IF(B9="","",IFERROR(VLOOKUP(B9,Configuração!$A$2:$C$13,2,FALSE()),""))</f>
        <v/>
      </c>
      <c r="F9" s="14" t="n">
        <f aca="false">IF(OR(B9="",G9&lt;&gt;"Concluído",COUNTIF(Configuração!$A$2:$A$13,B9)=0,NOT(ISNUMBER(E9))),0,D9*E9)</f>
        <v>0</v>
      </c>
      <c r="G9" s="12"/>
      <c r="H9" s="12"/>
      <c r="I9" s="12" t="str">
        <f aca="false">IF(B9="","",IF(COUNTIF(Configuração!$A$2:$A$13,B9)=0,"ERRO: profissional não cadastrado",IF(G9="Concluído","Elegível","Excluído do cálculo")))</f>
        <v/>
      </c>
    </row>
    <row r="10" customFormat="false" ht="34" hidden="false" customHeight="true" outlineLevel="0" collapsed="false">
      <c r="A10" s="15"/>
      <c r="B10" s="9"/>
      <c r="C10" s="9"/>
      <c r="D10" s="11"/>
      <c r="E10" s="10" t="str">
        <f aca="false">IF(B10="","",IFERROR(VLOOKUP(B10,Configuração!$A$2:$C$13,2,FALSE()),""))</f>
        <v/>
      </c>
      <c r="F10" s="11" t="n">
        <f aca="false">IF(OR(B10="",G10&lt;&gt;"Concluído",COUNTIF(Configuração!$A$2:$A$13,B10)=0,NOT(ISNUMBER(E10))),0,D10*E10)</f>
        <v>0</v>
      </c>
      <c r="G10" s="9"/>
      <c r="H10" s="9"/>
      <c r="I10" s="9" t="str">
        <f aca="false">IF(B10="","",IF(COUNTIF(Configuração!$A$2:$A$13,B10)=0,"ERRO: profissional não cadastrado",IF(G10="Concluído","Elegível","Excluído do cálculo")))</f>
        <v/>
      </c>
    </row>
    <row r="11" customFormat="false" ht="34" hidden="false" customHeight="true" outlineLevel="0" collapsed="false">
      <c r="A11" s="16"/>
      <c r="B11" s="12"/>
      <c r="C11" s="12"/>
      <c r="D11" s="14"/>
      <c r="E11" s="13" t="str">
        <f aca="false">IF(B11="","",IFERROR(VLOOKUP(B11,Configuração!$A$2:$C$13,2,FALSE()),""))</f>
        <v/>
      </c>
      <c r="F11" s="14" t="n">
        <f aca="false">IF(OR(B11="",G11&lt;&gt;"Concluído",COUNTIF(Configuração!$A$2:$A$13,B11)=0,NOT(ISNUMBER(E11))),0,D11*E11)</f>
        <v>0</v>
      </c>
      <c r="G11" s="12"/>
      <c r="H11" s="12"/>
      <c r="I11" s="12" t="str">
        <f aca="false">IF(B11="","",IF(COUNTIF(Configuração!$A$2:$A$13,B11)=0,"ERRO: profissional não cadastrado",IF(G11="Concluído","Elegível","Excluído do cálculo")))</f>
        <v/>
      </c>
    </row>
    <row r="12" customFormat="false" ht="34" hidden="false" customHeight="true" outlineLevel="0" collapsed="false">
      <c r="A12" s="15"/>
      <c r="B12" s="9"/>
      <c r="C12" s="9"/>
      <c r="D12" s="11"/>
      <c r="E12" s="10" t="str">
        <f aca="false">IF(B12="","",IFERROR(VLOOKUP(B12,Configuração!$A$2:$C$13,2,FALSE()),""))</f>
        <v/>
      </c>
      <c r="F12" s="11" t="n">
        <f aca="false">IF(OR(B12="",G12&lt;&gt;"Concluído",COUNTIF(Configuração!$A$2:$A$13,B12)=0,NOT(ISNUMBER(E12))),0,D12*E12)</f>
        <v>0</v>
      </c>
      <c r="G12" s="9"/>
      <c r="H12" s="9"/>
      <c r="I12" s="9" t="str">
        <f aca="false">IF(B12="","",IF(COUNTIF(Configuração!$A$2:$A$13,B12)=0,"ERRO: profissional não cadastrado",IF(G12="Concluído","Elegível","Excluído do cálculo")))</f>
        <v/>
      </c>
    </row>
    <row r="13" customFormat="false" ht="34" hidden="false" customHeight="true" outlineLevel="0" collapsed="false">
      <c r="A13" s="16"/>
      <c r="B13" s="12"/>
      <c r="C13" s="12"/>
      <c r="D13" s="14"/>
      <c r="E13" s="13" t="str">
        <f aca="false">IF(B13="","",IFERROR(VLOOKUP(B13,Configuração!$A$2:$C$13,2,FALSE()),""))</f>
        <v/>
      </c>
      <c r="F13" s="14" t="n">
        <f aca="false">IF(OR(B13="",G13&lt;&gt;"Concluído",COUNTIF(Configuração!$A$2:$A$13,B13)=0,NOT(ISNUMBER(E13))),0,D13*E13)</f>
        <v>0</v>
      </c>
      <c r="G13" s="12"/>
      <c r="H13" s="12"/>
      <c r="I13" s="12" t="str">
        <f aca="false">IF(B13="","",IF(COUNTIF(Configuração!$A$2:$A$13,B13)=0,"ERRO: profissional não cadastrado",IF(G13="Concluído","Elegível","Excluído do cálculo")))</f>
        <v/>
      </c>
    </row>
    <row r="14" customFormat="false" ht="34" hidden="false" customHeight="true" outlineLevel="0" collapsed="false">
      <c r="A14" s="15"/>
      <c r="B14" s="9"/>
      <c r="C14" s="9"/>
      <c r="D14" s="11"/>
      <c r="E14" s="10" t="str">
        <f aca="false">IF(B14="","",IFERROR(VLOOKUP(B14,Configuração!$A$2:$C$13,2,FALSE()),""))</f>
        <v/>
      </c>
      <c r="F14" s="11" t="n">
        <f aca="false">IF(OR(B14="",G14&lt;&gt;"Concluído",COUNTIF(Configuração!$A$2:$A$13,B14)=0,NOT(ISNUMBER(E14))),0,D14*E14)</f>
        <v>0</v>
      </c>
      <c r="G14" s="9"/>
      <c r="H14" s="9"/>
      <c r="I14" s="9" t="str">
        <f aca="false">IF(B14="","",IF(COUNTIF(Configuração!$A$2:$A$13,B14)=0,"ERRO: profissional não cadastrado",IF(G14="Concluído","Elegível","Excluído do cálculo")))</f>
        <v/>
      </c>
    </row>
    <row r="15" customFormat="false" ht="34" hidden="false" customHeight="true" outlineLevel="0" collapsed="false">
      <c r="A15" s="16"/>
      <c r="B15" s="12"/>
      <c r="C15" s="12"/>
      <c r="D15" s="14"/>
      <c r="E15" s="13" t="str">
        <f aca="false">IF(B15="","",IFERROR(VLOOKUP(B15,Configuração!$A$2:$C$13,2,FALSE()),""))</f>
        <v/>
      </c>
      <c r="F15" s="14" t="n">
        <f aca="false">IF(OR(B15="",G15&lt;&gt;"Concluído",COUNTIF(Configuração!$A$2:$A$13,B15)=0,NOT(ISNUMBER(E15))),0,D15*E15)</f>
        <v>0</v>
      </c>
      <c r="G15" s="12"/>
      <c r="H15" s="12"/>
      <c r="I15" s="12" t="str">
        <f aca="false">IF(B15="","",IF(COUNTIF(Configuração!$A$2:$A$13,B15)=0,"ERRO: profissional não cadastrado",IF(G15="Concluído","Elegível","Excluído do cálculo")))</f>
        <v/>
      </c>
    </row>
    <row r="16" customFormat="false" ht="34" hidden="false" customHeight="true" outlineLevel="0" collapsed="false">
      <c r="A16" s="15"/>
      <c r="B16" s="9"/>
      <c r="C16" s="9"/>
      <c r="D16" s="11"/>
      <c r="E16" s="10" t="str">
        <f aca="false">IF(B16="","",IFERROR(VLOOKUP(B16,Configuração!$A$2:$C$13,2,FALSE()),""))</f>
        <v/>
      </c>
      <c r="F16" s="11" t="n">
        <f aca="false">IF(OR(B16="",G16&lt;&gt;"Concluído",COUNTIF(Configuração!$A$2:$A$13,B16)=0,NOT(ISNUMBER(E16))),0,D16*E16)</f>
        <v>0</v>
      </c>
      <c r="G16" s="9"/>
      <c r="H16" s="9"/>
      <c r="I16" s="9" t="str">
        <f aca="false">IF(B16="","",IF(COUNTIF(Configuração!$A$2:$A$13,B16)=0,"ERRO: profissional não cadastrado",IF(G16="Concluído","Elegível","Excluído do cálculo")))</f>
        <v/>
      </c>
    </row>
    <row r="17" customFormat="false" ht="34" hidden="false" customHeight="true" outlineLevel="0" collapsed="false">
      <c r="A17" s="16"/>
      <c r="B17" s="12"/>
      <c r="C17" s="12"/>
      <c r="D17" s="14"/>
      <c r="E17" s="13" t="str">
        <f aca="false">IF(B17="","",IFERROR(VLOOKUP(B17,Configuração!$A$2:$C$13,2,FALSE()),""))</f>
        <v/>
      </c>
      <c r="F17" s="14" t="n">
        <f aca="false">IF(OR(B17="",G17&lt;&gt;"Concluído",COUNTIF(Configuração!$A$2:$A$13,B17)=0,NOT(ISNUMBER(E17))),0,D17*E17)</f>
        <v>0</v>
      </c>
      <c r="G17" s="12"/>
      <c r="H17" s="12"/>
      <c r="I17" s="12" t="str">
        <f aca="false">IF(B17="","",IF(COUNTIF(Configuração!$A$2:$A$13,B17)=0,"ERRO: profissional não cadastrado",IF(G17="Concluído","Elegível","Excluído do cálculo")))</f>
        <v/>
      </c>
    </row>
    <row r="18" customFormat="false" ht="34" hidden="false" customHeight="true" outlineLevel="0" collapsed="false">
      <c r="A18" s="15"/>
      <c r="B18" s="9"/>
      <c r="C18" s="9"/>
      <c r="D18" s="11"/>
      <c r="E18" s="10" t="str">
        <f aca="false">IF(B18="","",IFERROR(VLOOKUP(B18,Configuração!$A$2:$C$13,2,FALSE()),""))</f>
        <v/>
      </c>
      <c r="F18" s="11" t="n">
        <f aca="false">IF(OR(B18="",G18&lt;&gt;"Concluído",COUNTIF(Configuração!$A$2:$A$13,B18)=0,NOT(ISNUMBER(E18))),0,D18*E18)</f>
        <v>0</v>
      </c>
      <c r="G18" s="9"/>
      <c r="H18" s="9"/>
      <c r="I18" s="9" t="str">
        <f aca="false">IF(B18="","",IF(COUNTIF(Configuração!$A$2:$A$13,B18)=0,"ERRO: profissional não cadastrado",IF(G18="Concluído","Elegível","Excluído do cálculo")))</f>
        <v/>
      </c>
    </row>
    <row r="19" customFormat="false" ht="34" hidden="false" customHeight="true" outlineLevel="0" collapsed="false">
      <c r="A19" s="16"/>
      <c r="B19" s="12"/>
      <c r="C19" s="12"/>
      <c r="D19" s="14"/>
      <c r="E19" s="13" t="str">
        <f aca="false">IF(B19="","",IFERROR(VLOOKUP(B19,Configuração!$A$2:$C$13,2,FALSE()),""))</f>
        <v/>
      </c>
      <c r="F19" s="14" t="n">
        <f aca="false">IF(OR(B19="",G19&lt;&gt;"Concluído",COUNTIF(Configuração!$A$2:$A$13,B19)=0,NOT(ISNUMBER(E19))),0,D19*E19)</f>
        <v>0</v>
      </c>
      <c r="G19" s="12"/>
      <c r="H19" s="12"/>
      <c r="I19" s="12" t="str">
        <f aca="false">IF(B19="","",IF(COUNTIF(Configuração!$A$2:$A$13,B19)=0,"ERRO: profissional não cadastrado",IF(G19="Concluído","Elegível","Excluído do cálculo")))</f>
        <v/>
      </c>
    </row>
    <row r="20" customFormat="false" ht="34" hidden="false" customHeight="true" outlineLevel="0" collapsed="false">
      <c r="A20" s="15"/>
      <c r="B20" s="9"/>
      <c r="C20" s="9"/>
      <c r="D20" s="11"/>
      <c r="E20" s="10" t="str">
        <f aca="false">IF(B20="","",IFERROR(VLOOKUP(B20,Configuração!$A$2:$C$13,2,FALSE()),""))</f>
        <v/>
      </c>
      <c r="F20" s="11" t="n">
        <f aca="false">IF(OR(B20="",G20&lt;&gt;"Concluído",COUNTIF(Configuração!$A$2:$A$13,B20)=0,NOT(ISNUMBER(E20))),0,D20*E20)</f>
        <v>0</v>
      </c>
      <c r="G20" s="9"/>
      <c r="H20" s="9"/>
      <c r="I20" s="9" t="str">
        <f aca="false">IF(B20="","",IF(COUNTIF(Configuração!$A$2:$A$13,B20)=0,"ERRO: profissional não cadastrado",IF(G20="Concluído","Elegível","Excluído do cálculo")))</f>
        <v/>
      </c>
    </row>
    <row r="21" customFormat="false" ht="34" hidden="false" customHeight="true" outlineLevel="0" collapsed="false">
      <c r="A21" s="16"/>
      <c r="B21" s="12"/>
      <c r="C21" s="12"/>
      <c r="D21" s="14"/>
      <c r="E21" s="13" t="str">
        <f aca="false">IF(B21="","",IFERROR(VLOOKUP(B21,Configuração!$A$2:$C$13,2,FALSE()),""))</f>
        <v/>
      </c>
      <c r="F21" s="14" t="n">
        <f aca="false">IF(OR(B21="",G21&lt;&gt;"Concluído",COUNTIF(Configuração!$A$2:$A$13,B21)=0,NOT(ISNUMBER(E21))),0,D21*E21)</f>
        <v>0</v>
      </c>
      <c r="G21" s="12"/>
      <c r="H21" s="12"/>
      <c r="I21" s="12" t="str">
        <f aca="false">IF(B21="","",IF(COUNTIF(Configuração!$A$2:$A$13,B21)=0,"ERRO: profissional não cadastrado",IF(G21="Concluído","Elegível","Excluído do cálculo")))</f>
        <v/>
      </c>
    </row>
    <row r="22" customFormat="false" ht="34" hidden="false" customHeight="true" outlineLevel="0" collapsed="false">
      <c r="A22" s="15"/>
      <c r="B22" s="9"/>
      <c r="C22" s="9"/>
      <c r="D22" s="11"/>
      <c r="E22" s="10" t="str">
        <f aca="false">IF(B22="","",IFERROR(VLOOKUP(B22,Configuração!$A$2:$C$13,2,FALSE()),""))</f>
        <v/>
      </c>
      <c r="F22" s="11" t="n">
        <f aca="false">IF(OR(B22="",G22&lt;&gt;"Concluído",COUNTIF(Configuração!$A$2:$A$13,B22)=0,NOT(ISNUMBER(E22))),0,D22*E22)</f>
        <v>0</v>
      </c>
      <c r="G22" s="9"/>
      <c r="H22" s="9"/>
      <c r="I22" s="9" t="str">
        <f aca="false">IF(B22="","",IF(COUNTIF(Configuração!$A$2:$A$13,B22)=0,"ERRO: profissional não cadastrado",IF(G22="Concluído","Elegível","Excluído do cálculo")))</f>
        <v/>
      </c>
    </row>
    <row r="23" customFormat="false" ht="34" hidden="false" customHeight="true" outlineLevel="0" collapsed="false">
      <c r="A23" s="16"/>
      <c r="B23" s="12"/>
      <c r="C23" s="12"/>
      <c r="D23" s="14"/>
      <c r="E23" s="13" t="str">
        <f aca="false">IF(B23="","",IFERROR(VLOOKUP(B23,Configuração!$A$2:$C$13,2,FALSE()),""))</f>
        <v/>
      </c>
      <c r="F23" s="14" t="n">
        <f aca="false">IF(OR(B23="",G23&lt;&gt;"Concluído",COUNTIF(Configuração!$A$2:$A$13,B23)=0,NOT(ISNUMBER(E23))),0,D23*E23)</f>
        <v>0</v>
      </c>
      <c r="G23" s="12"/>
      <c r="H23" s="12"/>
      <c r="I23" s="12" t="str">
        <f aca="false">IF(B23="","",IF(COUNTIF(Configuração!$A$2:$A$13,B23)=0,"ERRO: profissional não cadastrado",IF(G23="Concluído","Elegível","Excluído do cálculo")))</f>
        <v/>
      </c>
    </row>
    <row r="24" customFormat="false" ht="34" hidden="false" customHeight="true" outlineLevel="0" collapsed="false">
      <c r="A24" s="15"/>
      <c r="B24" s="9"/>
      <c r="C24" s="9"/>
      <c r="D24" s="11"/>
      <c r="E24" s="10" t="str">
        <f aca="false">IF(B24="","",IFERROR(VLOOKUP(B24,Configuração!$A$2:$C$13,2,FALSE()),""))</f>
        <v/>
      </c>
      <c r="F24" s="11" t="n">
        <f aca="false">IF(OR(B24="",G24&lt;&gt;"Concluído",COUNTIF(Configuração!$A$2:$A$13,B24)=0,NOT(ISNUMBER(E24))),0,D24*E24)</f>
        <v>0</v>
      </c>
      <c r="G24" s="9"/>
      <c r="H24" s="9"/>
      <c r="I24" s="9" t="str">
        <f aca="false">IF(B24="","",IF(COUNTIF(Configuração!$A$2:$A$13,B24)=0,"ERRO: profissional não cadastrado",IF(G24="Concluído","Elegível","Excluído do cálculo")))</f>
        <v/>
      </c>
    </row>
    <row r="25" customFormat="false" ht="34" hidden="false" customHeight="true" outlineLevel="0" collapsed="false">
      <c r="A25" s="16"/>
      <c r="B25" s="12"/>
      <c r="C25" s="12"/>
      <c r="D25" s="14"/>
      <c r="E25" s="13" t="str">
        <f aca="false">IF(B25="","",IFERROR(VLOOKUP(B25,Configuração!$A$2:$C$13,2,FALSE()),""))</f>
        <v/>
      </c>
      <c r="F25" s="14" t="n">
        <f aca="false">IF(OR(B25="",G25&lt;&gt;"Concluído",COUNTIF(Configuração!$A$2:$A$13,B25)=0,NOT(ISNUMBER(E25))),0,D25*E25)</f>
        <v>0</v>
      </c>
      <c r="G25" s="12"/>
      <c r="H25" s="12"/>
      <c r="I25" s="12" t="str">
        <f aca="false">IF(B25="","",IF(COUNTIF(Configuração!$A$2:$A$13,B25)=0,"ERRO: profissional não cadastrado",IF(G25="Concluído","Elegível","Excluído do cálculo")))</f>
        <v/>
      </c>
    </row>
    <row r="26" customFormat="false" ht="34" hidden="false" customHeight="true" outlineLevel="0" collapsed="false">
      <c r="A26" s="15"/>
      <c r="B26" s="9"/>
      <c r="C26" s="9"/>
      <c r="D26" s="11"/>
      <c r="E26" s="10" t="str">
        <f aca="false">IF(B26="","",IFERROR(VLOOKUP(B26,Configuração!$A$2:$C$13,2,FALSE()),""))</f>
        <v/>
      </c>
      <c r="F26" s="11" t="n">
        <f aca="false">IF(OR(B26="",G26&lt;&gt;"Concluído",COUNTIF(Configuração!$A$2:$A$13,B26)=0,NOT(ISNUMBER(E26))),0,D26*E26)</f>
        <v>0</v>
      </c>
      <c r="G26" s="9"/>
      <c r="H26" s="9"/>
      <c r="I26" s="9" t="str">
        <f aca="false">IF(B26="","",IF(COUNTIF(Configuração!$A$2:$A$13,B26)=0,"ERRO: profissional não cadastrado",IF(G26="Concluído","Elegível","Excluído do cálculo")))</f>
        <v/>
      </c>
    </row>
    <row r="27" customFormat="false" ht="34" hidden="false" customHeight="true" outlineLevel="0" collapsed="false">
      <c r="A27" s="16"/>
      <c r="B27" s="12"/>
      <c r="C27" s="12"/>
      <c r="D27" s="14"/>
      <c r="E27" s="13" t="str">
        <f aca="false">IF(B27="","",IFERROR(VLOOKUP(B27,Configuração!$A$2:$C$13,2,FALSE()),""))</f>
        <v/>
      </c>
      <c r="F27" s="14" t="n">
        <f aca="false">IF(OR(B27="",G27&lt;&gt;"Concluído",COUNTIF(Configuração!$A$2:$A$13,B27)=0,NOT(ISNUMBER(E27))),0,D27*E27)</f>
        <v>0</v>
      </c>
      <c r="G27" s="12"/>
      <c r="H27" s="12"/>
      <c r="I27" s="12" t="str">
        <f aca="false">IF(B27="","",IF(COUNTIF(Configuração!$A$2:$A$13,B27)=0,"ERRO: profissional não cadastrado",IF(G27="Concluído","Elegível","Excluído do cálculo")))</f>
        <v/>
      </c>
    </row>
    <row r="28" customFormat="false" ht="34" hidden="false" customHeight="true" outlineLevel="0" collapsed="false">
      <c r="A28" s="15"/>
      <c r="B28" s="9"/>
      <c r="C28" s="9"/>
      <c r="D28" s="11"/>
      <c r="E28" s="10" t="str">
        <f aca="false">IF(B28="","",IFERROR(VLOOKUP(B28,Configuração!$A$2:$C$13,2,FALSE()),""))</f>
        <v/>
      </c>
      <c r="F28" s="11" t="n">
        <f aca="false">IF(OR(B28="",G28&lt;&gt;"Concluído",COUNTIF(Configuração!$A$2:$A$13,B28)=0,NOT(ISNUMBER(E28))),0,D28*E28)</f>
        <v>0</v>
      </c>
      <c r="G28" s="9"/>
      <c r="H28" s="9"/>
      <c r="I28" s="9" t="str">
        <f aca="false">IF(B28="","",IF(COUNTIF(Configuração!$A$2:$A$13,B28)=0,"ERRO: profissional não cadastrado",IF(G28="Concluído","Elegível","Excluído do cálculo")))</f>
        <v/>
      </c>
    </row>
    <row r="29" customFormat="false" ht="34" hidden="false" customHeight="true" outlineLevel="0" collapsed="false">
      <c r="A29" s="16"/>
      <c r="B29" s="12"/>
      <c r="C29" s="12"/>
      <c r="D29" s="14"/>
      <c r="E29" s="13" t="str">
        <f aca="false">IF(B29="","",IFERROR(VLOOKUP(B29,Configuração!$A$2:$C$13,2,FALSE()),""))</f>
        <v/>
      </c>
      <c r="F29" s="14" t="n">
        <f aca="false">IF(OR(B29="",G29&lt;&gt;"Concluído",COUNTIF(Configuração!$A$2:$A$13,B29)=0,NOT(ISNUMBER(E29))),0,D29*E29)</f>
        <v>0</v>
      </c>
      <c r="G29" s="12"/>
      <c r="H29" s="12"/>
      <c r="I29" s="12" t="str">
        <f aca="false">IF(B29="","",IF(COUNTIF(Configuração!$A$2:$A$13,B29)=0,"ERRO: profissional não cadastrado",IF(G29="Concluído","Elegível","Excluído do cálculo")))</f>
        <v/>
      </c>
    </row>
    <row r="30" customFormat="false" ht="34" hidden="false" customHeight="true" outlineLevel="0" collapsed="false">
      <c r="A30" s="15"/>
      <c r="B30" s="9"/>
      <c r="C30" s="9"/>
      <c r="D30" s="11"/>
      <c r="E30" s="10" t="str">
        <f aca="false">IF(B30="","",IFERROR(VLOOKUP(B30,Configuração!$A$2:$C$13,2,FALSE()),""))</f>
        <v/>
      </c>
      <c r="F30" s="11" t="n">
        <f aca="false">IF(OR(B30="",G30&lt;&gt;"Concluído",COUNTIF(Configuração!$A$2:$A$13,B30)=0,NOT(ISNUMBER(E30))),0,D30*E30)</f>
        <v>0</v>
      </c>
      <c r="G30" s="9"/>
      <c r="H30" s="9"/>
      <c r="I30" s="9" t="str">
        <f aca="false">IF(B30="","",IF(COUNTIF(Configuração!$A$2:$A$13,B30)=0,"ERRO: profissional não cadastrado",IF(G30="Concluído","Elegível","Excluído do cálculo")))</f>
        <v/>
      </c>
    </row>
    <row r="31" customFormat="false" ht="34" hidden="false" customHeight="true" outlineLevel="0" collapsed="false">
      <c r="A31" s="16"/>
      <c r="B31" s="12"/>
      <c r="C31" s="12"/>
      <c r="D31" s="14"/>
      <c r="E31" s="13" t="str">
        <f aca="false">IF(B31="","",IFERROR(VLOOKUP(B31,Configuração!$A$2:$C$13,2,FALSE()),""))</f>
        <v/>
      </c>
      <c r="F31" s="14" t="n">
        <f aca="false">IF(OR(B31="",G31&lt;&gt;"Concluído",COUNTIF(Configuração!$A$2:$A$13,B31)=0,NOT(ISNUMBER(E31))),0,D31*E31)</f>
        <v>0</v>
      </c>
      <c r="G31" s="12"/>
      <c r="H31" s="12"/>
      <c r="I31" s="12" t="str">
        <f aca="false">IF(B31="","",IF(COUNTIF(Configuração!$A$2:$A$13,B31)=0,"ERRO: profissional não cadastrado",IF(G31="Concluído","Elegível","Excluído do cálculo")))</f>
        <v/>
      </c>
    </row>
    <row r="32" customFormat="false" ht="34" hidden="false" customHeight="true" outlineLevel="0" collapsed="false">
      <c r="A32" s="15"/>
      <c r="B32" s="9"/>
      <c r="C32" s="9"/>
      <c r="D32" s="11"/>
      <c r="E32" s="10" t="str">
        <f aca="false">IF(B32="","",IFERROR(VLOOKUP(B32,Configuração!$A$2:$C$13,2,FALSE()),""))</f>
        <v/>
      </c>
      <c r="F32" s="11" t="n">
        <f aca="false">IF(OR(B32="",G32&lt;&gt;"Concluído",COUNTIF(Configuração!$A$2:$A$13,B32)=0,NOT(ISNUMBER(E32))),0,D32*E32)</f>
        <v>0</v>
      </c>
      <c r="G32" s="9"/>
      <c r="H32" s="9"/>
      <c r="I32" s="9" t="str">
        <f aca="false">IF(B32="","",IF(COUNTIF(Configuração!$A$2:$A$13,B32)=0,"ERRO: profissional não cadastrado",IF(G32="Concluído","Elegível","Excluído do cálculo")))</f>
        <v/>
      </c>
    </row>
    <row r="33" customFormat="false" ht="34" hidden="false" customHeight="true" outlineLevel="0" collapsed="false">
      <c r="A33" s="16"/>
      <c r="B33" s="12"/>
      <c r="C33" s="12"/>
      <c r="D33" s="14"/>
      <c r="E33" s="13" t="str">
        <f aca="false">IF(B33="","",IFERROR(VLOOKUP(B33,Configuração!$A$2:$C$13,2,FALSE()),""))</f>
        <v/>
      </c>
      <c r="F33" s="14" t="n">
        <f aca="false">IF(OR(B33="",G33&lt;&gt;"Concluído",COUNTIF(Configuração!$A$2:$A$13,B33)=0,NOT(ISNUMBER(E33))),0,D33*E33)</f>
        <v>0</v>
      </c>
      <c r="G33" s="12"/>
      <c r="H33" s="12"/>
      <c r="I33" s="12" t="str">
        <f aca="false">IF(B33="","",IF(COUNTIF(Configuração!$A$2:$A$13,B33)=0,"ERRO: profissional não cadastrado",IF(G33="Concluído","Elegível","Excluído do cálculo")))</f>
        <v/>
      </c>
    </row>
    <row r="34" customFormat="false" ht="34" hidden="false" customHeight="true" outlineLevel="0" collapsed="false">
      <c r="A34" s="15"/>
      <c r="B34" s="9"/>
      <c r="C34" s="9"/>
      <c r="D34" s="11"/>
      <c r="E34" s="10" t="str">
        <f aca="false">IF(B34="","",IFERROR(VLOOKUP(B34,Configuração!$A$2:$C$13,2,FALSE()),""))</f>
        <v/>
      </c>
      <c r="F34" s="11" t="n">
        <f aca="false">IF(OR(B34="",G34&lt;&gt;"Concluído",COUNTIF(Configuração!$A$2:$A$13,B34)=0,NOT(ISNUMBER(E34))),0,D34*E34)</f>
        <v>0</v>
      </c>
      <c r="G34" s="9"/>
      <c r="H34" s="9"/>
      <c r="I34" s="9" t="str">
        <f aca="false">IF(B34="","",IF(COUNTIF(Configuração!$A$2:$A$13,B34)=0,"ERRO: profissional não cadastrado",IF(G34="Concluído","Elegível","Excluído do cálculo")))</f>
        <v/>
      </c>
    </row>
    <row r="35" customFormat="false" ht="34" hidden="false" customHeight="true" outlineLevel="0" collapsed="false">
      <c r="A35" s="16"/>
      <c r="B35" s="12"/>
      <c r="C35" s="12"/>
      <c r="D35" s="14"/>
      <c r="E35" s="13" t="str">
        <f aca="false">IF(B35="","",IFERROR(VLOOKUP(B35,Configuração!$A$2:$C$13,2,FALSE()),""))</f>
        <v/>
      </c>
      <c r="F35" s="14" t="n">
        <f aca="false">IF(OR(B35="",G35&lt;&gt;"Concluído",COUNTIF(Configuração!$A$2:$A$13,B35)=0,NOT(ISNUMBER(E35))),0,D35*E35)</f>
        <v>0</v>
      </c>
      <c r="G35" s="12"/>
      <c r="H35" s="12"/>
      <c r="I35" s="12" t="str">
        <f aca="false">IF(B35="","",IF(COUNTIF(Configuração!$A$2:$A$13,B35)=0,"ERRO: profissional não cadastrado",IF(G35="Concluído","Elegível","Excluído do cálculo")))</f>
        <v/>
      </c>
    </row>
    <row r="36" customFormat="false" ht="34" hidden="false" customHeight="true" outlineLevel="0" collapsed="false">
      <c r="A36" s="15"/>
      <c r="B36" s="9"/>
      <c r="C36" s="9"/>
      <c r="D36" s="11"/>
      <c r="E36" s="10" t="str">
        <f aca="false">IF(B36="","",IFERROR(VLOOKUP(B36,Configuração!$A$2:$C$13,2,FALSE()),""))</f>
        <v/>
      </c>
      <c r="F36" s="11" t="n">
        <f aca="false">IF(OR(B36="",G36&lt;&gt;"Concluído",COUNTIF(Configuração!$A$2:$A$13,B36)=0,NOT(ISNUMBER(E36))),0,D36*E36)</f>
        <v>0</v>
      </c>
      <c r="G36" s="9"/>
      <c r="H36" s="9"/>
      <c r="I36" s="9" t="str">
        <f aca="false">IF(B36="","",IF(COUNTIF(Configuração!$A$2:$A$13,B36)=0,"ERRO: profissional não cadastrado",IF(G36="Concluído","Elegível","Excluído do cálculo")))</f>
        <v/>
      </c>
    </row>
    <row r="37" customFormat="false" ht="34" hidden="false" customHeight="true" outlineLevel="0" collapsed="false">
      <c r="A37" s="16"/>
      <c r="B37" s="12"/>
      <c r="C37" s="12"/>
      <c r="D37" s="14"/>
      <c r="E37" s="13" t="str">
        <f aca="false">IF(B37="","",IFERROR(VLOOKUP(B37,Configuração!$A$2:$C$13,2,FALSE()),""))</f>
        <v/>
      </c>
      <c r="F37" s="14" t="n">
        <f aca="false">IF(OR(B37="",G37&lt;&gt;"Concluído",COUNTIF(Configuração!$A$2:$A$13,B37)=0,NOT(ISNUMBER(E37))),0,D37*E37)</f>
        <v>0</v>
      </c>
      <c r="G37" s="12"/>
      <c r="H37" s="12"/>
      <c r="I37" s="12" t="str">
        <f aca="false">IF(B37="","",IF(COUNTIF(Configuração!$A$2:$A$13,B37)=0,"ERRO: profissional não cadastrado",IF(G37="Concluído","Elegível","Excluído do cálculo")))</f>
        <v/>
      </c>
    </row>
    <row r="38" customFormat="false" ht="34" hidden="false" customHeight="true" outlineLevel="0" collapsed="false">
      <c r="A38" s="15"/>
      <c r="B38" s="9"/>
      <c r="C38" s="9"/>
      <c r="D38" s="11"/>
      <c r="E38" s="10" t="str">
        <f aca="false">IF(B38="","",IFERROR(VLOOKUP(B38,Configuração!$A$2:$C$13,2,FALSE()),""))</f>
        <v/>
      </c>
      <c r="F38" s="11" t="n">
        <f aca="false">IF(OR(B38="",G38&lt;&gt;"Concluído",COUNTIF(Configuração!$A$2:$A$13,B38)=0,NOT(ISNUMBER(E38))),0,D38*E38)</f>
        <v>0</v>
      </c>
      <c r="G38" s="9"/>
      <c r="H38" s="9"/>
      <c r="I38" s="9" t="str">
        <f aca="false">IF(B38="","",IF(COUNTIF(Configuração!$A$2:$A$13,B38)=0,"ERRO: profissional não cadastrado",IF(G38="Concluído","Elegível","Excluído do cálculo")))</f>
        <v/>
      </c>
    </row>
    <row r="39" customFormat="false" ht="34" hidden="false" customHeight="true" outlineLevel="0" collapsed="false">
      <c r="A39" s="16"/>
      <c r="B39" s="12"/>
      <c r="C39" s="12"/>
      <c r="D39" s="14"/>
      <c r="E39" s="13" t="str">
        <f aca="false">IF(B39="","",IFERROR(VLOOKUP(B39,Configuração!$A$2:$C$13,2,FALSE()),""))</f>
        <v/>
      </c>
      <c r="F39" s="14" t="n">
        <f aca="false">IF(OR(B39="",G39&lt;&gt;"Concluído",COUNTIF(Configuração!$A$2:$A$13,B39)=0,NOT(ISNUMBER(E39))),0,D39*E39)</f>
        <v>0</v>
      </c>
      <c r="G39" s="12"/>
      <c r="H39" s="12"/>
      <c r="I39" s="12" t="str">
        <f aca="false">IF(B39="","",IF(COUNTIF(Configuração!$A$2:$A$13,B39)=0,"ERRO: profissional não cadastrado",IF(G39="Concluído","Elegível","Excluído do cálculo")))</f>
        <v/>
      </c>
    </row>
    <row r="40" customFormat="false" ht="34" hidden="false" customHeight="true" outlineLevel="0" collapsed="false">
      <c r="A40" s="15"/>
      <c r="B40" s="9"/>
      <c r="C40" s="9"/>
      <c r="D40" s="11"/>
      <c r="E40" s="10" t="str">
        <f aca="false">IF(B40="","",IFERROR(VLOOKUP(B40,Configuração!$A$2:$C$13,2,FALSE()),""))</f>
        <v/>
      </c>
      <c r="F40" s="11" t="n">
        <f aca="false">IF(OR(B40="",G40&lt;&gt;"Concluído",COUNTIF(Configuração!$A$2:$A$13,B40)=0,NOT(ISNUMBER(E40))),0,D40*E40)</f>
        <v>0</v>
      </c>
      <c r="G40" s="9"/>
      <c r="H40" s="9"/>
      <c r="I40" s="9" t="str">
        <f aca="false">IF(B40="","",IF(COUNTIF(Configuração!$A$2:$A$13,B40)=0,"ERRO: profissional não cadastrado",IF(G40="Concluído","Elegível","Excluído do cálculo")))</f>
        <v/>
      </c>
    </row>
    <row r="41" customFormat="false" ht="34" hidden="false" customHeight="true" outlineLevel="0" collapsed="false">
      <c r="A41" s="16"/>
      <c r="B41" s="12"/>
      <c r="C41" s="12"/>
      <c r="D41" s="14"/>
      <c r="E41" s="13" t="str">
        <f aca="false">IF(B41="","",IFERROR(VLOOKUP(B41,Configuração!$A$2:$C$13,2,FALSE()),""))</f>
        <v/>
      </c>
      <c r="F41" s="14" t="n">
        <f aca="false">IF(OR(B41="",G41&lt;&gt;"Concluído",COUNTIF(Configuração!$A$2:$A$13,B41)=0,NOT(ISNUMBER(E41))),0,D41*E41)</f>
        <v>0</v>
      </c>
      <c r="G41" s="12"/>
      <c r="H41" s="12"/>
      <c r="I41" s="12" t="str">
        <f aca="false">IF(B41="","",IF(COUNTIF(Configuração!$A$2:$A$13,B41)=0,"ERRO: profissional não cadastrado",IF(G41="Concluído","Elegível","Excluído do cálculo")))</f>
        <v/>
      </c>
    </row>
    <row r="42" customFormat="false" ht="34" hidden="false" customHeight="true" outlineLevel="0" collapsed="false">
      <c r="A42" s="15"/>
      <c r="B42" s="9"/>
      <c r="C42" s="9"/>
      <c r="D42" s="11"/>
      <c r="E42" s="10" t="str">
        <f aca="false">IF(B42="","",IFERROR(VLOOKUP(B42,Configuração!$A$2:$C$13,2,FALSE()),""))</f>
        <v/>
      </c>
      <c r="F42" s="11" t="n">
        <f aca="false">IF(OR(B42="",G42&lt;&gt;"Concluído",COUNTIF(Configuração!$A$2:$A$13,B42)=0,NOT(ISNUMBER(E42))),0,D42*E42)</f>
        <v>0</v>
      </c>
      <c r="G42" s="9"/>
      <c r="H42" s="9"/>
      <c r="I42" s="9" t="str">
        <f aca="false">IF(B42="","",IF(COUNTIF(Configuração!$A$2:$A$13,B42)=0,"ERRO: profissional não cadastrado",IF(G42="Concluído","Elegível","Excluído do cálculo")))</f>
        <v/>
      </c>
    </row>
    <row r="43" customFormat="false" ht="34" hidden="false" customHeight="true" outlineLevel="0" collapsed="false">
      <c r="A43" s="16"/>
      <c r="B43" s="12"/>
      <c r="C43" s="12"/>
      <c r="D43" s="14"/>
      <c r="E43" s="13" t="str">
        <f aca="false">IF(B43="","",IFERROR(VLOOKUP(B43,Configuração!$A$2:$C$13,2,FALSE()),""))</f>
        <v/>
      </c>
      <c r="F43" s="14" t="n">
        <f aca="false">IF(OR(B43="",G43&lt;&gt;"Concluído",COUNTIF(Configuração!$A$2:$A$13,B43)=0,NOT(ISNUMBER(E43))),0,D43*E43)</f>
        <v>0</v>
      </c>
      <c r="G43" s="12"/>
      <c r="H43" s="12"/>
      <c r="I43" s="12" t="str">
        <f aca="false">IF(B43="","",IF(COUNTIF(Configuração!$A$2:$A$13,B43)=0,"ERRO: profissional não cadastrado",IF(G43="Concluído","Elegível","Excluído do cálculo")))</f>
        <v/>
      </c>
    </row>
    <row r="44" customFormat="false" ht="34" hidden="false" customHeight="true" outlineLevel="0" collapsed="false">
      <c r="A44" s="15"/>
      <c r="B44" s="9"/>
      <c r="C44" s="9"/>
      <c r="D44" s="11"/>
      <c r="E44" s="10" t="str">
        <f aca="false">IF(B44="","",IFERROR(VLOOKUP(B44,Configuração!$A$2:$C$13,2,FALSE()),""))</f>
        <v/>
      </c>
      <c r="F44" s="11" t="n">
        <f aca="false">IF(OR(B44="",G44&lt;&gt;"Concluído",COUNTIF(Configuração!$A$2:$A$13,B44)=0,NOT(ISNUMBER(E44))),0,D44*E44)</f>
        <v>0</v>
      </c>
      <c r="G44" s="9"/>
      <c r="H44" s="9"/>
      <c r="I44" s="9" t="str">
        <f aca="false">IF(B44="","",IF(COUNTIF(Configuração!$A$2:$A$13,B44)=0,"ERRO: profissional não cadastrado",IF(G44="Concluído","Elegível","Excluído do cálculo")))</f>
        <v/>
      </c>
    </row>
    <row r="45" customFormat="false" ht="34" hidden="false" customHeight="true" outlineLevel="0" collapsed="false">
      <c r="A45" s="16"/>
      <c r="B45" s="12"/>
      <c r="C45" s="12"/>
      <c r="D45" s="14"/>
      <c r="E45" s="13" t="str">
        <f aca="false">IF(B45="","",IFERROR(VLOOKUP(B45,Configuração!$A$2:$C$13,2,FALSE()),""))</f>
        <v/>
      </c>
      <c r="F45" s="14" t="n">
        <f aca="false">IF(OR(B45="",G45&lt;&gt;"Concluído",COUNTIF(Configuração!$A$2:$A$13,B45)=0,NOT(ISNUMBER(E45))),0,D45*E45)</f>
        <v>0</v>
      </c>
      <c r="G45" s="12"/>
      <c r="H45" s="12"/>
      <c r="I45" s="12" t="str">
        <f aca="false">IF(B45="","",IF(COUNTIF(Configuração!$A$2:$A$13,B45)=0,"ERRO: profissional não cadastrado",IF(G45="Concluído","Elegível","Excluído do cálculo")))</f>
        <v/>
      </c>
    </row>
    <row r="46" customFormat="false" ht="34" hidden="false" customHeight="true" outlineLevel="0" collapsed="false">
      <c r="A46" s="15"/>
      <c r="B46" s="9"/>
      <c r="C46" s="9"/>
      <c r="D46" s="11"/>
      <c r="E46" s="10" t="str">
        <f aca="false">IF(B46="","",IFERROR(VLOOKUP(B46,Configuração!$A$2:$C$13,2,FALSE()),""))</f>
        <v/>
      </c>
      <c r="F46" s="11" t="n">
        <f aca="false">IF(OR(B46="",G46&lt;&gt;"Concluído",COUNTIF(Configuração!$A$2:$A$13,B46)=0,NOT(ISNUMBER(E46))),0,D46*E46)</f>
        <v>0</v>
      </c>
      <c r="G46" s="9"/>
      <c r="H46" s="9"/>
      <c r="I46" s="9" t="str">
        <f aca="false">IF(B46="","",IF(COUNTIF(Configuração!$A$2:$A$13,B46)=0,"ERRO: profissional não cadastrado",IF(G46="Concluído","Elegível","Excluído do cálculo")))</f>
        <v/>
      </c>
    </row>
    <row r="47" customFormat="false" ht="34" hidden="false" customHeight="true" outlineLevel="0" collapsed="false">
      <c r="A47" s="16"/>
      <c r="B47" s="12"/>
      <c r="C47" s="12"/>
      <c r="D47" s="14"/>
      <c r="E47" s="13" t="str">
        <f aca="false">IF(B47="","",IFERROR(VLOOKUP(B47,Configuração!$A$2:$C$13,2,FALSE()),""))</f>
        <v/>
      </c>
      <c r="F47" s="14" t="n">
        <f aca="false">IF(OR(B47="",G47&lt;&gt;"Concluído",COUNTIF(Configuração!$A$2:$A$13,B47)=0,NOT(ISNUMBER(E47))),0,D47*E47)</f>
        <v>0</v>
      </c>
      <c r="G47" s="12"/>
      <c r="H47" s="12"/>
      <c r="I47" s="12" t="str">
        <f aca="false">IF(B47="","",IF(COUNTIF(Configuração!$A$2:$A$13,B47)=0,"ERRO: profissional não cadastrado",IF(G47="Concluído","Elegível","Excluído do cálculo")))</f>
        <v/>
      </c>
    </row>
    <row r="48" customFormat="false" ht="34" hidden="false" customHeight="true" outlineLevel="0" collapsed="false">
      <c r="A48" s="15"/>
      <c r="B48" s="9"/>
      <c r="C48" s="9"/>
      <c r="D48" s="11"/>
      <c r="E48" s="10" t="str">
        <f aca="false">IF(B48="","",IFERROR(VLOOKUP(B48,Configuração!$A$2:$C$13,2,FALSE()),""))</f>
        <v/>
      </c>
      <c r="F48" s="11" t="n">
        <f aca="false">IF(OR(B48="",G48&lt;&gt;"Concluído",COUNTIF(Configuração!$A$2:$A$13,B48)=0,NOT(ISNUMBER(E48))),0,D48*E48)</f>
        <v>0</v>
      </c>
      <c r="G48" s="9"/>
      <c r="H48" s="9"/>
      <c r="I48" s="9" t="str">
        <f aca="false">IF(B48="","",IF(COUNTIF(Configuração!$A$2:$A$13,B48)=0,"ERRO: profissional não cadastrado",IF(G48="Concluído","Elegível","Excluído do cálculo")))</f>
        <v/>
      </c>
    </row>
    <row r="49" customFormat="false" ht="34" hidden="false" customHeight="true" outlineLevel="0" collapsed="false">
      <c r="A49" s="16"/>
      <c r="B49" s="12"/>
      <c r="C49" s="12"/>
      <c r="D49" s="14"/>
      <c r="E49" s="13" t="str">
        <f aca="false">IF(B49="","",IFERROR(VLOOKUP(B49,Configuração!$A$2:$C$13,2,FALSE()),""))</f>
        <v/>
      </c>
      <c r="F49" s="14" t="n">
        <f aca="false">IF(OR(B49="",G49&lt;&gt;"Concluído",COUNTIF(Configuração!$A$2:$A$13,B49)=0,NOT(ISNUMBER(E49))),0,D49*E49)</f>
        <v>0</v>
      </c>
      <c r="G49" s="12"/>
      <c r="H49" s="12"/>
      <c r="I49" s="12" t="str">
        <f aca="false">IF(B49="","",IF(COUNTIF(Configuração!$A$2:$A$13,B49)=0,"ERRO: profissional não cadastrado",IF(G49="Concluído","Elegível","Excluído do cálculo")))</f>
        <v/>
      </c>
    </row>
    <row r="50" customFormat="false" ht="34" hidden="false" customHeight="true" outlineLevel="0" collapsed="false">
      <c r="A50" s="15"/>
      <c r="B50" s="9"/>
      <c r="C50" s="9"/>
      <c r="D50" s="11"/>
      <c r="E50" s="10" t="str">
        <f aca="false">IF(B50="","",IFERROR(VLOOKUP(B50,Configuração!$A$2:$C$13,2,FALSE()),""))</f>
        <v/>
      </c>
      <c r="F50" s="11" t="n">
        <f aca="false">IF(OR(B50="",G50&lt;&gt;"Concluído",COUNTIF(Configuração!$A$2:$A$13,B50)=0,NOT(ISNUMBER(E50))),0,D50*E50)</f>
        <v>0</v>
      </c>
      <c r="G50" s="9"/>
      <c r="H50" s="9"/>
      <c r="I50" s="9" t="str">
        <f aca="false">IF(B50="","",IF(COUNTIF(Configuração!$A$2:$A$13,B50)=0,"ERRO: profissional não cadastrado",IF(G50="Concluído","Elegível","Excluído do cálculo")))</f>
        <v/>
      </c>
    </row>
    <row r="51" customFormat="false" ht="34" hidden="false" customHeight="true" outlineLevel="0" collapsed="false">
      <c r="A51" s="16"/>
      <c r="B51" s="12"/>
      <c r="C51" s="12"/>
      <c r="D51" s="14"/>
      <c r="E51" s="13" t="str">
        <f aca="false">IF(B51="","",IFERROR(VLOOKUP(B51,Configuração!$A$2:$C$13,2,FALSE()),""))</f>
        <v/>
      </c>
      <c r="F51" s="14" t="n">
        <f aca="false">IF(OR(B51="",G51&lt;&gt;"Concluído",COUNTIF(Configuração!$A$2:$A$13,B51)=0,NOT(ISNUMBER(E51))),0,D51*E51)</f>
        <v>0</v>
      </c>
      <c r="G51" s="12"/>
      <c r="H51" s="12"/>
      <c r="I51" s="12" t="str">
        <f aca="false">IF(B51="","",IF(COUNTIF(Configuração!$A$2:$A$13,B51)=0,"ERRO: profissional não cadastrado",IF(G51="Concluído","Elegível","Excluído do cálculo")))</f>
        <v/>
      </c>
    </row>
    <row r="52" customFormat="false" ht="34" hidden="false" customHeight="true" outlineLevel="0" collapsed="false">
      <c r="A52" s="15"/>
      <c r="B52" s="9"/>
      <c r="C52" s="9"/>
      <c r="D52" s="11"/>
      <c r="E52" s="10" t="str">
        <f aca="false">IF(B52="","",IFERROR(VLOOKUP(B52,Configuração!$A$2:$C$13,2,FALSE()),""))</f>
        <v/>
      </c>
      <c r="F52" s="11" t="n">
        <f aca="false">IF(OR(B52="",G52&lt;&gt;"Concluído",COUNTIF(Configuração!$A$2:$A$13,B52)=0,NOT(ISNUMBER(E52))),0,D52*E52)</f>
        <v>0</v>
      </c>
      <c r="G52" s="9"/>
      <c r="H52" s="9"/>
      <c r="I52" s="9" t="str">
        <f aca="false">IF(B52="","",IF(COUNTIF(Configuração!$A$2:$A$13,B52)=0,"ERRO: profissional não cadastrado",IF(G52="Concluído","Elegível","Excluído do cálculo")))</f>
        <v/>
      </c>
    </row>
    <row r="53" customFormat="false" ht="34" hidden="false" customHeight="true" outlineLevel="0" collapsed="false">
      <c r="A53" s="16"/>
      <c r="B53" s="12"/>
      <c r="C53" s="12"/>
      <c r="D53" s="14"/>
      <c r="E53" s="13" t="str">
        <f aca="false">IF(B53="","",IFERROR(VLOOKUP(B53,Configuração!$A$2:$C$13,2,FALSE()),""))</f>
        <v/>
      </c>
      <c r="F53" s="14" t="n">
        <f aca="false">IF(OR(B53="",G53&lt;&gt;"Concluído",COUNTIF(Configuração!$A$2:$A$13,B53)=0,NOT(ISNUMBER(E53))),0,D53*E53)</f>
        <v>0</v>
      </c>
      <c r="G53" s="12"/>
      <c r="H53" s="12"/>
      <c r="I53" s="12" t="str">
        <f aca="false">IF(B53="","",IF(COUNTIF(Configuração!$A$2:$A$13,B53)=0,"ERRO: profissional não cadastrado",IF(G53="Concluído","Elegível","Excluído do cálculo")))</f>
        <v/>
      </c>
    </row>
    <row r="54" customFormat="false" ht="34" hidden="false" customHeight="true" outlineLevel="0" collapsed="false">
      <c r="A54" s="15"/>
      <c r="B54" s="9"/>
      <c r="C54" s="9"/>
      <c r="D54" s="11"/>
      <c r="E54" s="10" t="str">
        <f aca="false">IF(B54="","",IFERROR(VLOOKUP(B54,Configuração!$A$2:$C$13,2,FALSE()),""))</f>
        <v/>
      </c>
      <c r="F54" s="11" t="n">
        <f aca="false">IF(OR(B54="",G54&lt;&gt;"Concluído",COUNTIF(Configuração!$A$2:$A$13,B54)=0,NOT(ISNUMBER(E54))),0,D54*E54)</f>
        <v>0</v>
      </c>
      <c r="G54" s="9"/>
      <c r="H54" s="9"/>
      <c r="I54" s="9" t="str">
        <f aca="false">IF(B54="","",IF(COUNTIF(Configuração!$A$2:$A$13,B54)=0,"ERRO: profissional não cadastrado",IF(G54="Concluído","Elegível","Excluído do cálculo")))</f>
        <v/>
      </c>
    </row>
    <row r="55" customFormat="false" ht="34" hidden="false" customHeight="true" outlineLevel="0" collapsed="false">
      <c r="A55" s="16"/>
      <c r="B55" s="12"/>
      <c r="C55" s="12"/>
      <c r="D55" s="14"/>
      <c r="E55" s="13" t="str">
        <f aca="false">IF(B55="","",IFERROR(VLOOKUP(B55,Configuração!$A$2:$C$13,2,FALSE()),""))</f>
        <v/>
      </c>
      <c r="F55" s="14" t="n">
        <f aca="false">IF(OR(B55="",G55&lt;&gt;"Concluído",COUNTIF(Configuração!$A$2:$A$13,B55)=0,NOT(ISNUMBER(E55))),0,D55*E55)</f>
        <v>0</v>
      </c>
      <c r="G55" s="12"/>
      <c r="H55" s="12"/>
      <c r="I55" s="12" t="str">
        <f aca="false">IF(B55="","",IF(COUNTIF(Configuração!$A$2:$A$13,B55)=0,"ERRO: profissional não cadastrado",IF(G55="Concluído","Elegível","Excluído do cálculo")))</f>
        <v/>
      </c>
    </row>
    <row r="56" customFormat="false" ht="34" hidden="false" customHeight="true" outlineLevel="0" collapsed="false">
      <c r="A56" s="15"/>
      <c r="B56" s="9"/>
      <c r="C56" s="9"/>
      <c r="D56" s="11"/>
      <c r="E56" s="10" t="str">
        <f aca="false">IF(B56="","",IFERROR(VLOOKUP(B56,Configuração!$A$2:$C$13,2,FALSE()),""))</f>
        <v/>
      </c>
      <c r="F56" s="11" t="n">
        <f aca="false">IF(OR(B56="",G56&lt;&gt;"Concluído",COUNTIF(Configuração!$A$2:$A$13,B56)=0,NOT(ISNUMBER(E56))),0,D56*E56)</f>
        <v>0</v>
      </c>
      <c r="G56" s="9"/>
      <c r="H56" s="9"/>
      <c r="I56" s="9" t="str">
        <f aca="false">IF(B56="","",IF(COUNTIF(Configuração!$A$2:$A$13,B56)=0,"ERRO: profissional não cadastrado",IF(G56="Concluído","Elegível","Excluído do cálculo")))</f>
        <v/>
      </c>
    </row>
    <row r="57" customFormat="false" ht="34" hidden="false" customHeight="true" outlineLevel="0" collapsed="false">
      <c r="A57" s="16"/>
      <c r="B57" s="12"/>
      <c r="C57" s="12"/>
      <c r="D57" s="14"/>
      <c r="E57" s="13" t="str">
        <f aca="false">IF(B57="","",IFERROR(VLOOKUP(B57,Configuração!$A$2:$C$13,2,FALSE()),""))</f>
        <v/>
      </c>
      <c r="F57" s="14" t="n">
        <f aca="false">IF(OR(B57="",G57&lt;&gt;"Concluído",COUNTIF(Configuração!$A$2:$A$13,B57)=0,NOT(ISNUMBER(E57))),0,D57*E57)</f>
        <v>0</v>
      </c>
      <c r="G57" s="12"/>
      <c r="H57" s="12"/>
      <c r="I57" s="12" t="str">
        <f aca="false">IF(B57="","",IF(COUNTIF(Configuração!$A$2:$A$13,B57)=0,"ERRO: profissional não cadastrado",IF(G57="Concluído","Elegível","Excluído do cálculo")))</f>
        <v/>
      </c>
    </row>
    <row r="58" customFormat="false" ht="34" hidden="false" customHeight="true" outlineLevel="0" collapsed="false">
      <c r="A58" s="15"/>
      <c r="B58" s="9"/>
      <c r="C58" s="9"/>
      <c r="D58" s="11"/>
      <c r="E58" s="10" t="str">
        <f aca="false">IF(B58="","",IFERROR(VLOOKUP(B58,Configuração!$A$2:$C$13,2,FALSE()),""))</f>
        <v/>
      </c>
      <c r="F58" s="11" t="n">
        <f aca="false">IF(OR(B58="",G58&lt;&gt;"Concluído",COUNTIF(Configuração!$A$2:$A$13,B58)=0,NOT(ISNUMBER(E58))),0,D58*E58)</f>
        <v>0</v>
      </c>
      <c r="G58" s="9"/>
      <c r="H58" s="9"/>
      <c r="I58" s="9" t="str">
        <f aca="false">IF(B58="","",IF(COUNTIF(Configuração!$A$2:$A$13,B58)=0,"ERRO: profissional não cadastrado",IF(G58="Concluído","Elegível","Excluído do cálculo")))</f>
        <v/>
      </c>
    </row>
    <row r="59" customFormat="false" ht="34" hidden="false" customHeight="true" outlineLevel="0" collapsed="false">
      <c r="A59" s="16"/>
      <c r="B59" s="12"/>
      <c r="C59" s="12"/>
      <c r="D59" s="14"/>
      <c r="E59" s="13" t="str">
        <f aca="false">IF(B59="","",IFERROR(VLOOKUP(B59,Configuração!$A$2:$C$13,2,FALSE()),""))</f>
        <v/>
      </c>
      <c r="F59" s="14" t="n">
        <f aca="false">IF(OR(B59="",G59&lt;&gt;"Concluído",COUNTIF(Configuração!$A$2:$A$13,B59)=0,NOT(ISNUMBER(E59))),0,D59*E59)</f>
        <v>0</v>
      </c>
      <c r="G59" s="12"/>
      <c r="H59" s="12"/>
      <c r="I59" s="12" t="str">
        <f aca="false">IF(B59="","",IF(COUNTIF(Configuração!$A$2:$A$13,B59)=0,"ERRO: profissional não cadastrado",IF(G59="Concluído","Elegível","Excluído do cálculo")))</f>
        <v/>
      </c>
    </row>
    <row r="60" customFormat="false" ht="34" hidden="false" customHeight="true" outlineLevel="0" collapsed="false">
      <c r="A60" s="15"/>
      <c r="B60" s="9"/>
      <c r="C60" s="9"/>
      <c r="D60" s="11"/>
      <c r="E60" s="10" t="str">
        <f aca="false">IF(B60="","",IFERROR(VLOOKUP(B60,Configuração!$A$2:$C$13,2,FALSE()),""))</f>
        <v/>
      </c>
      <c r="F60" s="11" t="n">
        <f aca="false">IF(OR(B60="",G60&lt;&gt;"Concluído",COUNTIF(Configuração!$A$2:$A$13,B60)=0,NOT(ISNUMBER(E60))),0,D60*E60)</f>
        <v>0</v>
      </c>
      <c r="G60" s="9"/>
      <c r="H60" s="9"/>
      <c r="I60" s="9" t="str">
        <f aca="false">IF(B60="","",IF(COUNTIF(Configuração!$A$2:$A$13,B60)=0,"ERRO: profissional não cadastrado",IF(G60="Concluído","Elegível","Excluído do cálculo")))</f>
        <v/>
      </c>
    </row>
    <row r="61" customFormat="false" ht="34" hidden="false" customHeight="true" outlineLevel="0" collapsed="false">
      <c r="A61" s="16"/>
      <c r="B61" s="12"/>
      <c r="C61" s="12"/>
      <c r="D61" s="14"/>
      <c r="E61" s="13" t="str">
        <f aca="false">IF(B61="","",IFERROR(VLOOKUP(B61,Configuração!$A$2:$C$13,2,FALSE()),""))</f>
        <v/>
      </c>
      <c r="F61" s="14" t="n">
        <f aca="false">IF(OR(B61="",G61&lt;&gt;"Concluído",COUNTIF(Configuração!$A$2:$A$13,B61)=0,NOT(ISNUMBER(E61))),0,D61*E61)</f>
        <v>0</v>
      </c>
      <c r="G61" s="12"/>
      <c r="H61" s="12"/>
      <c r="I61" s="12" t="str">
        <f aca="false">IF(B61="","",IF(COUNTIF(Configuração!$A$2:$A$13,B61)=0,"ERRO: profissional não cadastrado",IF(G61="Concluído","Elegível","Excluído do cálculo")))</f>
        <v/>
      </c>
    </row>
    <row r="62" customFormat="false" ht="34" hidden="false" customHeight="true" outlineLevel="0" collapsed="false">
      <c r="A62" s="15"/>
      <c r="B62" s="9"/>
      <c r="C62" s="9"/>
      <c r="D62" s="11"/>
      <c r="E62" s="10" t="str">
        <f aca="false">IF(B62="","",IFERROR(VLOOKUP(B62,Configuração!$A$2:$C$13,2,FALSE()),""))</f>
        <v/>
      </c>
      <c r="F62" s="11" t="n">
        <f aca="false">IF(OR(B62="",G62&lt;&gt;"Concluído",COUNTIF(Configuração!$A$2:$A$13,B62)=0,NOT(ISNUMBER(E62))),0,D62*E62)</f>
        <v>0</v>
      </c>
      <c r="G62" s="9"/>
      <c r="H62" s="9"/>
      <c r="I62" s="9" t="str">
        <f aca="false">IF(B62="","",IF(COUNTIF(Configuração!$A$2:$A$13,B62)=0,"ERRO: profissional não cadastrado",IF(G62="Concluído","Elegível","Excluído do cálculo")))</f>
        <v/>
      </c>
    </row>
    <row r="63" customFormat="false" ht="34" hidden="false" customHeight="true" outlineLevel="0" collapsed="false">
      <c r="A63" s="16"/>
      <c r="B63" s="12"/>
      <c r="C63" s="12"/>
      <c r="D63" s="14"/>
      <c r="E63" s="13" t="str">
        <f aca="false">IF(B63="","",IFERROR(VLOOKUP(B63,Configuração!$A$2:$C$13,2,FALSE()),""))</f>
        <v/>
      </c>
      <c r="F63" s="14" t="n">
        <f aca="false">IF(OR(B63="",G63&lt;&gt;"Concluído",COUNTIF(Configuração!$A$2:$A$13,B63)=0,NOT(ISNUMBER(E63))),0,D63*E63)</f>
        <v>0</v>
      </c>
      <c r="G63" s="12"/>
      <c r="H63" s="12"/>
      <c r="I63" s="12" t="str">
        <f aca="false">IF(B63="","",IF(COUNTIF(Configuração!$A$2:$A$13,B63)=0,"ERRO: profissional não cadastrado",IF(G63="Concluído","Elegível","Excluído do cálculo")))</f>
        <v/>
      </c>
    </row>
    <row r="64" customFormat="false" ht="34" hidden="false" customHeight="true" outlineLevel="0" collapsed="false">
      <c r="A64" s="15"/>
      <c r="B64" s="9"/>
      <c r="C64" s="9"/>
      <c r="D64" s="11"/>
      <c r="E64" s="10" t="str">
        <f aca="false">IF(B64="","",IFERROR(VLOOKUP(B64,Configuração!$A$2:$C$13,2,FALSE()),""))</f>
        <v/>
      </c>
      <c r="F64" s="11" t="n">
        <f aca="false">IF(OR(B64="",G64&lt;&gt;"Concluído",COUNTIF(Configuração!$A$2:$A$13,B64)=0,NOT(ISNUMBER(E64))),0,D64*E64)</f>
        <v>0</v>
      </c>
      <c r="G64" s="9"/>
      <c r="H64" s="9"/>
      <c r="I64" s="9" t="str">
        <f aca="false">IF(B64="","",IF(COUNTIF(Configuração!$A$2:$A$13,B64)=0,"ERRO: profissional não cadastrado",IF(G64="Concluído","Elegível","Excluído do cálculo")))</f>
        <v/>
      </c>
    </row>
    <row r="65" customFormat="false" ht="34" hidden="false" customHeight="true" outlineLevel="0" collapsed="false">
      <c r="A65" s="16"/>
      <c r="B65" s="12"/>
      <c r="C65" s="12"/>
      <c r="D65" s="14"/>
      <c r="E65" s="13" t="str">
        <f aca="false">IF(B65="","",IFERROR(VLOOKUP(B65,Configuração!$A$2:$C$13,2,FALSE()),""))</f>
        <v/>
      </c>
      <c r="F65" s="14" t="n">
        <f aca="false">IF(OR(B65="",G65&lt;&gt;"Concluído",COUNTIF(Configuração!$A$2:$A$13,B65)=0,NOT(ISNUMBER(E65))),0,D65*E65)</f>
        <v>0</v>
      </c>
      <c r="G65" s="12"/>
      <c r="H65" s="12"/>
      <c r="I65" s="12" t="str">
        <f aca="false">IF(B65="","",IF(COUNTIF(Configuração!$A$2:$A$13,B65)=0,"ERRO: profissional não cadastrado",IF(G65="Concluído","Elegível","Excluído do cálculo")))</f>
        <v/>
      </c>
    </row>
    <row r="66" customFormat="false" ht="34" hidden="false" customHeight="true" outlineLevel="0" collapsed="false">
      <c r="A66" s="15"/>
      <c r="B66" s="9"/>
      <c r="C66" s="9"/>
      <c r="D66" s="11"/>
      <c r="E66" s="10" t="str">
        <f aca="false">IF(B66="","",IFERROR(VLOOKUP(B66,Configuração!$A$2:$C$13,2,FALSE()),""))</f>
        <v/>
      </c>
      <c r="F66" s="11" t="n">
        <f aca="false">IF(OR(B66="",G66&lt;&gt;"Concluído",COUNTIF(Configuração!$A$2:$A$13,B66)=0,NOT(ISNUMBER(E66))),0,D66*E66)</f>
        <v>0</v>
      </c>
      <c r="G66" s="9"/>
      <c r="H66" s="9"/>
      <c r="I66" s="9" t="str">
        <f aca="false">IF(B66="","",IF(COUNTIF(Configuração!$A$2:$A$13,B66)=0,"ERRO: profissional não cadastrado",IF(G66="Concluído","Elegível","Excluído do cálculo")))</f>
        <v/>
      </c>
    </row>
    <row r="67" customFormat="false" ht="34" hidden="false" customHeight="true" outlineLevel="0" collapsed="false">
      <c r="A67" s="16"/>
      <c r="B67" s="12"/>
      <c r="C67" s="12"/>
      <c r="D67" s="14"/>
      <c r="E67" s="13" t="str">
        <f aca="false">IF(B67="","",IFERROR(VLOOKUP(B67,Configuração!$A$2:$C$13,2,FALSE()),""))</f>
        <v/>
      </c>
      <c r="F67" s="14" t="n">
        <f aca="false">IF(OR(B67="",G67&lt;&gt;"Concluído",COUNTIF(Configuração!$A$2:$A$13,B67)=0,NOT(ISNUMBER(E67))),0,D67*E67)</f>
        <v>0</v>
      </c>
      <c r="G67" s="12"/>
      <c r="H67" s="12"/>
      <c r="I67" s="12" t="str">
        <f aca="false">IF(B67="","",IF(COUNTIF(Configuração!$A$2:$A$13,B67)=0,"ERRO: profissional não cadastrado",IF(G67="Concluído","Elegível","Excluído do cálculo")))</f>
        <v/>
      </c>
    </row>
    <row r="68" customFormat="false" ht="34" hidden="false" customHeight="true" outlineLevel="0" collapsed="false">
      <c r="A68" s="15"/>
      <c r="B68" s="9"/>
      <c r="C68" s="9"/>
      <c r="D68" s="11"/>
      <c r="E68" s="10" t="str">
        <f aca="false">IF(B68="","",IFERROR(VLOOKUP(B68,Configuração!$A$2:$C$13,2,FALSE()),""))</f>
        <v/>
      </c>
      <c r="F68" s="11" t="n">
        <f aca="false">IF(OR(B68="",G68&lt;&gt;"Concluído",COUNTIF(Configuração!$A$2:$A$13,B68)=0,NOT(ISNUMBER(E68))),0,D68*E68)</f>
        <v>0</v>
      </c>
      <c r="G68" s="9"/>
      <c r="H68" s="9"/>
      <c r="I68" s="9" t="str">
        <f aca="false">IF(B68="","",IF(COUNTIF(Configuração!$A$2:$A$13,B68)=0,"ERRO: profissional não cadastrado",IF(G68="Concluído","Elegível","Excluído do cálculo")))</f>
        <v/>
      </c>
    </row>
    <row r="69" customFormat="false" ht="34" hidden="false" customHeight="true" outlineLevel="0" collapsed="false">
      <c r="A69" s="16"/>
      <c r="B69" s="12"/>
      <c r="C69" s="12"/>
      <c r="D69" s="14"/>
      <c r="E69" s="13" t="str">
        <f aca="false">IF(B69="","",IFERROR(VLOOKUP(B69,Configuração!$A$2:$C$13,2,FALSE()),""))</f>
        <v/>
      </c>
      <c r="F69" s="14" t="n">
        <f aca="false">IF(OR(B69="",G69&lt;&gt;"Concluído",COUNTIF(Configuração!$A$2:$A$13,B69)=0,NOT(ISNUMBER(E69))),0,D69*E69)</f>
        <v>0</v>
      </c>
      <c r="G69" s="12"/>
      <c r="H69" s="12"/>
      <c r="I69" s="12" t="str">
        <f aca="false">IF(B69="","",IF(COUNTIF(Configuração!$A$2:$A$13,B69)=0,"ERRO: profissional não cadastrado",IF(G69="Concluído","Elegível","Excluído do cálculo")))</f>
        <v/>
      </c>
    </row>
    <row r="70" customFormat="false" ht="34" hidden="false" customHeight="true" outlineLevel="0" collapsed="false">
      <c r="A70" s="15"/>
      <c r="B70" s="9"/>
      <c r="C70" s="9"/>
      <c r="D70" s="11"/>
      <c r="E70" s="10" t="str">
        <f aca="false">IF(B70="","",IFERROR(VLOOKUP(B70,Configuração!$A$2:$C$13,2,FALSE()),""))</f>
        <v/>
      </c>
      <c r="F70" s="11" t="n">
        <f aca="false">IF(OR(B70="",G70&lt;&gt;"Concluído",COUNTIF(Configuração!$A$2:$A$13,B70)=0,NOT(ISNUMBER(E70))),0,D70*E70)</f>
        <v>0</v>
      </c>
      <c r="G70" s="9"/>
      <c r="H70" s="9"/>
      <c r="I70" s="9" t="str">
        <f aca="false">IF(B70="","",IF(COUNTIF(Configuração!$A$2:$A$13,B70)=0,"ERRO: profissional não cadastrado",IF(G70="Concluído","Elegível","Excluído do cálculo")))</f>
        <v/>
      </c>
    </row>
    <row r="71" customFormat="false" ht="34" hidden="false" customHeight="true" outlineLevel="0" collapsed="false">
      <c r="A71" s="16"/>
      <c r="B71" s="12"/>
      <c r="C71" s="12"/>
      <c r="D71" s="14"/>
      <c r="E71" s="13" t="str">
        <f aca="false">IF(B71="","",IFERROR(VLOOKUP(B71,Configuração!$A$2:$C$13,2,FALSE()),""))</f>
        <v/>
      </c>
      <c r="F71" s="14" t="n">
        <f aca="false">IF(OR(B71="",G71&lt;&gt;"Concluído",COUNTIF(Configuração!$A$2:$A$13,B71)=0,NOT(ISNUMBER(E71))),0,D71*E71)</f>
        <v>0</v>
      </c>
      <c r="G71" s="12"/>
      <c r="H71" s="12"/>
      <c r="I71" s="12" t="str">
        <f aca="false">IF(B71="","",IF(COUNTIF(Configuração!$A$2:$A$13,B71)=0,"ERRO: profissional não cadastrado",IF(G71="Concluído","Elegível","Excluído do cálculo")))</f>
        <v/>
      </c>
    </row>
    <row r="72" customFormat="false" ht="34" hidden="false" customHeight="true" outlineLevel="0" collapsed="false">
      <c r="A72" s="15"/>
      <c r="B72" s="9"/>
      <c r="C72" s="9"/>
      <c r="D72" s="11"/>
      <c r="E72" s="10" t="str">
        <f aca="false">IF(B72="","",IFERROR(VLOOKUP(B72,Configuração!$A$2:$C$13,2,FALSE()),""))</f>
        <v/>
      </c>
      <c r="F72" s="11" t="n">
        <f aca="false">IF(OR(B72="",G72&lt;&gt;"Concluído",COUNTIF(Configuração!$A$2:$A$13,B72)=0,NOT(ISNUMBER(E72))),0,D72*E72)</f>
        <v>0</v>
      </c>
      <c r="G72" s="9"/>
      <c r="H72" s="9"/>
      <c r="I72" s="9" t="str">
        <f aca="false">IF(B72="","",IF(COUNTIF(Configuração!$A$2:$A$13,B72)=0,"ERRO: profissional não cadastrado",IF(G72="Concluído","Elegível","Excluído do cálculo")))</f>
        <v/>
      </c>
    </row>
    <row r="73" customFormat="false" ht="34" hidden="false" customHeight="true" outlineLevel="0" collapsed="false">
      <c r="A73" s="16"/>
      <c r="B73" s="12"/>
      <c r="C73" s="12"/>
      <c r="D73" s="14"/>
      <c r="E73" s="13" t="str">
        <f aca="false">IF(B73="","",IFERROR(VLOOKUP(B73,Configuração!$A$2:$C$13,2,FALSE()),""))</f>
        <v/>
      </c>
      <c r="F73" s="14" t="n">
        <f aca="false">IF(OR(B73="",G73&lt;&gt;"Concluído",COUNTIF(Configuração!$A$2:$A$13,B73)=0,NOT(ISNUMBER(E73))),0,D73*E73)</f>
        <v>0</v>
      </c>
      <c r="G73" s="12"/>
      <c r="H73" s="12"/>
      <c r="I73" s="12" t="str">
        <f aca="false">IF(B73="","",IF(COUNTIF(Configuração!$A$2:$A$13,B73)=0,"ERRO: profissional não cadastrado",IF(G73="Concluído","Elegível","Excluído do cálculo")))</f>
        <v/>
      </c>
    </row>
    <row r="74" customFormat="false" ht="34" hidden="false" customHeight="true" outlineLevel="0" collapsed="false">
      <c r="A74" s="15"/>
      <c r="B74" s="9"/>
      <c r="C74" s="9"/>
      <c r="D74" s="11"/>
      <c r="E74" s="10" t="str">
        <f aca="false">IF(B74="","",IFERROR(VLOOKUP(B74,Configuração!$A$2:$C$13,2,FALSE()),""))</f>
        <v/>
      </c>
      <c r="F74" s="11" t="n">
        <f aca="false">IF(OR(B74="",G74&lt;&gt;"Concluído",COUNTIF(Configuração!$A$2:$A$13,B74)=0,NOT(ISNUMBER(E74))),0,D74*E74)</f>
        <v>0</v>
      </c>
      <c r="G74" s="9"/>
      <c r="H74" s="9"/>
      <c r="I74" s="9" t="str">
        <f aca="false">IF(B74="","",IF(COUNTIF(Configuração!$A$2:$A$13,B74)=0,"ERRO: profissional não cadastrado",IF(G74="Concluído","Elegível","Excluído do cálculo")))</f>
        <v/>
      </c>
    </row>
    <row r="75" customFormat="false" ht="34" hidden="false" customHeight="true" outlineLevel="0" collapsed="false">
      <c r="A75" s="16"/>
      <c r="B75" s="12"/>
      <c r="C75" s="12"/>
      <c r="D75" s="14"/>
      <c r="E75" s="13" t="str">
        <f aca="false">IF(B75="","",IFERROR(VLOOKUP(B75,Configuração!$A$2:$C$13,2,FALSE()),""))</f>
        <v/>
      </c>
      <c r="F75" s="14" t="n">
        <f aca="false">IF(OR(B75="",G75&lt;&gt;"Concluído",COUNTIF(Configuração!$A$2:$A$13,B75)=0,NOT(ISNUMBER(E75))),0,D75*E75)</f>
        <v>0</v>
      </c>
      <c r="G75" s="12"/>
      <c r="H75" s="12"/>
      <c r="I75" s="12" t="str">
        <f aca="false">IF(B75="","",IF(COUNTIF(Configuração!$A$2:$A$13,B75)=0,"ERRO: profissional não cadastrado",IF(G75="Concluído","Elegível","Excluído do cálculo")))</f>
        <v/>
      </c>
    </row>
    <row r="76" customFormat="false" ht="34" hidden="false" customHeight="true" outlineLevel="0" collapsed="false">
      <c r="A76" s="15"/>
      <c r="B76" s="9"/>
      <c r="C76" s="9"/>
      <c r="D76" s="11"/>
      <c r="E76" s="10" t="str">
        <f aca="false">IF(B76="","",IFERROR(VLOOKUP(B76,Configuração!$A$2:$C$13,2,FALSE()),""))</f>
        <v/>
      </c>
      <c r="F76" s="11" t="n">
        <f aca="false">IF(OR(B76="",G76&lt;&gt;"Concluído",COUNTIF(Configuração!$A$2:$A$13,B76)=0,NOT(ISNUMBER(E76))),0,D76*E76)</f>
        <v>0</v>
      </c>
      <c r="G76" s="9"/>
      <c r="H76" s="9"/>
      <c r="I76" s="9" t="str">
        <f aca="false">IF(B76="","",IF(COUNTIF(Configuração!$A$2:$A$13,B76)=0,"ERRO: profissional não cadastrado",IF(G76="Concluído","Elegível","Excluído do cálculo")))</f>
        <v/>
      </c>
    </row>
    <row r="77" customFormat="false" ht="34" hidden="false" customHeight="true" outlineLevel="0" collapsed="false">
      <c r="A77" s="16"/>
      <c r="B77" s="12"/>
      <c r="C77" s="12"/>
      <c r="D77" s="14"/>
      <c r="E77" s="13" t="str">
        <f aca="false">IF(B77="","",IFERROR(VLOOKUP(B77,Configuração!$A$2:$C$13,2,FALSE()),""))</f>
        <v/>
      </c>
      <c r="F77" s="14" t="n">
        <f aca="false">IF(OR(B77="",G77&lt;&gt;"Concluído",COUNTIF(Configuração!$A$2:$A$13,B77)=0,NOT(ISNUMBER(E77))),0,D77*E77)</f>
        <v>0</v>
      </c>
      <c r="G77" s="12"/>
      <c r="H77" s="12"/>
      <c r="I77" s="12" t="str">
        <f aca="false">IF(B77="","",IF(COUNTIF(Configuração!$A$2:$A$13,B77)=0,"ERRO: profissional não cadastrado",IF(G77="Concluído","Elegível","Excluído do cálculo")))</f>
        <v/>
      </c>
    </row>
    <row r="78" customFormat="false" ht="34" hidden="false" customHeight="true" outlineLevel="0" collapsed="false">
      <c r="A78" s="15"/>
      <c r="B78" s="9"/>
      <c r="C78" s="9"/>
      <c r="D78" s="11"/>
      <c r="E78" s="10" t="str">
        <f aca="false">IF(B78="","",IFERROR(VLOOKUP(B78,Configuração!$A$2:$C$13,2,FALSE()),""))</f>
        <v/>
      </c>
      <c r="F78" s="11" t="n">
        <f aca="false">IF(OR(B78="",G78&lt;&gt;"Concluído",COUNTIF(Configuração!$A$2:$A$13,B78)=0,NOT(ISNUMBER(E78))),0,D78*E78)</f>
        <v>0</v>
      </c>
      <c r="G78" s="9"/>
      <c r="H78" s="9"/>
      <c r="I78" s="9" t="str">
        <f aca="false">IF(B78="","",IF(COUNTIF(Configuração!$A$2:$A$13,B78)=0,"ERRO: profissional não cadastrado",IF(G78="Concluído","Elegível","Excluído do cálculo")))</f>
        <v/>
      </c>
    </row>
    <row r="79" customFormat="false" ht="34" hidden="false" customHeight="true" outlineLevel="0" collapsed="false">
      <c r="A79" s="16"/>
      <c r="B79" s="12"/>
      <c r="C79" s="12"/>
      <c r="D79" s="14"/>
      <c r="E79" s="13" t="str">
        <f aca="false">IF(B79="","",IFERROR(VLOOKUP(B79,Configuração!$A$2:$C$13,2,FALSE()),""))</f>
        <v/>
      </c>
      <c r="F79" s="14" t="n">
        <f aca="false">IF(OR(B79="",G79&lt;&gt;"Concluído",COUNTIF(Configuração!$A$2:$A$13,B79)=0,NOT(ISNUMBER(E79))),0,D79*E79)</f>
        <v>0</v>
      </c>
      <c r="G79" s="12"/>
      <c r="H79" s="12"/>
      <c r="I79" s="12" t="str">
        <f aca="false">IF(B79="","",IF(COUNTIF(Configuração!$A$2:$A$13,B79)=0,"ERRO: profissional não cadastrado",IF(G79="Concluído","Elegível","Excluído do cálculo")))</f>
        <v/>
      </c>
    </row>
    <row r="80" customFormat="false" ht="34" hidden="false" customHeight="true" outlineLevel="0" collapsed="false">
      <c r="A80" s="15"/>
      <c r="B80" s="9"/>
      <c r="C80" s="9"/>
      <c r="D80" s="11"/>
      <c r="E80" s="10" t="str">
        <f aca="false">IF(B80="","",IFERROR(VLOOKUP(B80,Configuração!$A$2:$C$13,2,FALSE()),""))</f>
        <v/>
      </c>
      <c r="F80" s="11" t="n">
        <f aca="false">IF(OR(B80="",G80&lt;&gt;"Concluído",COUNTIF(Configuração!$A$2:$A$13,B80)=0,NOT(ISNUMBER(E80))),0,D80*E80)</f>
        <v>0</v>
      </c>
      <c r="G80" s="9"/>
      <c r="H80" s="9"/>
      <c r="I80" s="9" t="str">
        <f aca="false">IF(B80="","",IF(COUNTIF(Configuração!$A$2:$A$13,B80)=0,"ERRO: profissional não cadastrado",IF(G80="Concluído","Elegível","Excluído do cálculo")))</f>
        <v/>
      </c>
    </row>
    <row r="81" customFormat="false" ht="34" hidden="false" customHeight="true" outlineLevel="0" collapsed="false">
      <c r="A81" s="16"/>
      <c r="B81" s="12"/>
      <c r="C81" s="12"/>
      <c r="D81" s="14"/>
      <c r="E81" s="13" t="str">
        <f aca="false">IF(B81="","",IFERROR(VLOOKUP(B81,Configuração!$A$2:$C$13,2,FALSE()),""))</f>
        <v/>
      </c>
      <c r="F81" s="14" t="n">
        <f aca="false">IF(OR(B81="",G81&lt;&gt;"Concluído",COUNTIF(Configuração!$A$2:$A$13,B81)=0,NOT(ISNUMBER(E81))),0,D81*E81)</f>
        <v>0</v>
      </c>
      <c r="G81" s="12"/>
      <c r="H81" s="12"/>
      <c r="I81" s="12" t="str">
        <f aca="false">IF(B81="","",IF(COUNTIF(Configuração!$A$2:$A$13,B81)=0,"ERRO: profissional não cadastrado",IF(G81="Concluído","Elegível","Excluído do cálculo")))</f>
        <v/>
      </c>
    </row>
    <row r="82" customFormat="false" ht="34" hidden="false" customHeight="true" outlineLevel="0" collapsed="false">
      <c r="A82" s="15"/>
      <c r="B82" s="9"/>
      <c r="C82" s="9"/>
      <c r="D82" s="11"/>
      <c r="E82" s="10" t="str">
        <f aca="false">IF(B82="","",IFERROR(VLOOKUP(B82,Configuração!$A$2:$C$13,2,FALSE()),""))</f>
        <v/>
      </c>
      <c r="F82" s="11" t="n">
        <f aca="false">IF(OR(B82="",G82&lt;&gt;"Concluído",COUNTIF(Configuração!$A$2:$A$13,B82)=0,NOT(ISNUMBER(E82))),0,D82*E82)</f>
        <v>0</v>
      </c>
      <c r="G82" s="9"/>
      <c r="H82" s="9"/>
      <c r="I82" s="9" t="str">
        <f aca="false">IF(B82="","",IF(COUNTIF(Configuração!$A$2:$A$13,B82)=0,"ERRO: profissional não cadastrado",IF(G82="Concluído","Elegível","Excluído do cálculo")))</f>
        <v/>
      </c>
    </row>
    <row r="83" customFormat="false" ht="34" hidden="false" customHeight="true" outlineLevel="0" collapsed="false">
      <c r="A83" s="16"/>
      <c r="B83" s="12"/>
      <c r="C83" s="12"/>
      <c r="D83" s="14"/>
      <c r="E83" s="13" t="str">
        <f aca="false">IF(B83="","",IFERROR(VLOOKUP(B83,Configuração!$A$2:$C$13,2,FALSE()),""))</f>
        <v/>
      </c>
      <c r="F83" s="14" t="n">
        <f aca="false">IF(OR(B83="",G83&lt;&gt;"Concluído",COUNTIF(Configuração!$A$2:$A$13,B83)=0,NOT(ISNUMBER(E83))),0,D83*E83)</f>
        <v>0</v>
      </c>
      <c r="G83" s="12"/>
      <c r="H83" s="12"/>
      <c r="I83" s="12" t="str">
        <f aca="false">IF(B83="","",IF(COUNTIF(Configuração!$A$2:$A$13,B83)=0,"ERRO: profissional não cadastrado",IF(G83="Concluído","Elegível","Excluído do cálculo")))</f>
        <v/>
      </c>
    </row>
    <row r="84" customFormat="false" ht="34" hidden="false" customHeight="true" outlineLevel="0" collapsed="false">
      <c r="A84" s="15"/>
      <c r="B84" s="9"/>
      <c r="C84" s="9"/>
      <c r="D84" s="11"/>
      <c r="E84" s="10" t="str">
        <f aca="false">IF(B84="","",IFERROR(VLOOKUP(B84,Configuração!$A$2:$C$13,2,FALSE()),""))</f>
        <v/>
      </c>
      <c r="F84" s="11" t="n">
        <f aca="false">IF(OR(B84="",G84&lt;&gt;"Concluído",COUNTIF(Configuração!$A$2:$A$13,B84)=0,NOT(ISNUMBER(E84))),0,D84*E84)</f>
        <v>0</v>
      </c>
      <c r="G84" s="9"/>
      <c r="H84" s="9"/>
      <c r="I84" s="9" t="str">
        <f aca="false">IF(B84="","",IF(COUNTIF(Configuração!$A$2:$A$13,B84)=0,"ERRO: profissional não cadastrado",IF(G84="Concluído","Elegível","Excluído do cálculo")))</f>
        <v/>
      </c>
    </row>
    <row r="85" customFormat="false" ht="34" hidden="false" customHeight="true" outlineLevel="0" collapsed="false">
      <c r="A85" s="16"/>
      <c r="B85" s="12"/>
      <c r="C85" s="12"/>
      <c r="D85" s="14"/>
      <c r="E85" s="13" t="str">
        <f aca="false">IF(B85="","",IFERROR(VLOOKUP(B85,Configuração!$A$2:$C$13,2,FALSE()),""))</f>
        <v/>
      </c>
      <c r="F85" s="14" t="n">
        <f aca="false">IF(OR(B85="",G85&lt;&gt;"Concluído",COUNTIF(Configuração!$A$2:$A$13,B85)=0,NOT(ISNUMBER(E85))),0,D85*E85)</f>
        <v>0</v>
      </c>
      <c r="G85" s="12"/>
      <c r="H85" s="12"/>
      <c r="I85" s="12" t="str">
        <f aca="false">IF(B85="","",IF(COUNTIF(Configuração!$A$2:$A$13,B85)=0,"ERRO: profissional não cadastrado",IF(G85="Concluído","Elegível","Excluído do cálculo")))</f>
        <v/>
      </c>
    </row>
    <row r="86" customFormat="false" ht="34" hidden="false" customHeight="true" outlineLevel="0" collapsed="false">
      <c r="A86" s="15"/>
      <c r="B86" s="9"/>
      <c r="C86" s="9"/>
      <c r="D86" s="11"/>
      <c r="E86" s="10" t="str">
        <f aca="false">IF(B86="","",IFERROR(VLOOKUP(B86,Configuração!$A$2:$C$13,2,FALSE()),""))</f>
        <v/>
      </c>
      <c r="F86" s="11" t="n">
        <f aca="false">IF(OR(B86="",G86&lt;&gt;"Concluído",COUNTIF(Configuração!$A$2:$A$13,B86)=0,NOT(ISNUMBER(E86))),0,D86*E86)</f>
        <v>0</v>
      </c>
      <c r="G86" s="9"/>
      <c r="H86" s="9"/>
      <c r="I86" s="9" t="str">
        <f aca="false">IF(B86="","",IF(COUNTIF(Configuração!$A$2:$A$13,B86)=0,"ERRO: profissional não cadastrado",IF(G86="Concluído","Elegível","Excluído do cálculo")))</f>
        <v/>
      </c>
    </row>
    <row r="87" customFormat="false" ht="34" hidden="false" customHeight="true" outlineLevel="0" collapsed="false">
      <c r="A87" s="16"/>
      <c r="B87" s="12"/>
      <c r="C87" s="12"/>
      <c r="D87" s="14"/>
      <c r="E87" s="13" t="str">
        <f aca="false">IF(B87="","",IFERROR(VLOOKUP(B87,Configuração!$A$2:$C$13,2,FALSE()),""))</f>
        <v/>
      </c>
      <c r="F87" s="14" t="n">
        <f aca="false">IF(OR(B87="",G87&lt;&gt;"Concluído",COUNTIF(Configuração!$A$2:$A$13,B87)=0,NOT(ISNUMBER(E87))),0,D87*E87)</f>
        <v>0</v>
      </c>
      <c r="G87" s="12"/>
      <c r="H87" s="12"/>
      <c r="I87" s="12" t="str">
        <f aca="false">IF(B87="","",IF(COUNTIF(Configuração!$A$2:$A$13,B87)=0,"ERRO: profissional não cadastrado",IF(G87="Concluído","Elegível","Excluído do cálculo")))</f>
        <v/>
      </c>
    </row>
    <row r="88" customFormat="false" ht="34" hidden="false" customHeight="true" outlineLevel="0" collapsed="false">
      <c r="A88" s="15"/>
      <c r="B88" s="9"/>
      <c r="C88" s="9"/>
      <c r="D88" s="11"/>
      <c r="E88" s="10" t="str">
        <f aca="false">IF(B88="","",IFERROR(VLOOKUP(B88,Configuração!$A$2:$C$13,2,FALSE()),""))</f>
        <v/>
      </c>
      <c r="F88" s="11" t="n">
        <f aca="false">IF(OR(B88="",G88&lt;&gt;"Concluído",COUNTIF(Configuração!$A$2:$A$13,B88)=0,NOT(ISNUMBER(E88))),0,D88*E88)</f>
        <v>0</v>
      </c>
      <c r="G88" s="9"/>
      <c r="H88" s="9"/>
      <c r="I88" s="9" t="str">
        <f aca="false">IF(B88="","",IF(COUNTIF(Configuração!$A$2:$A$13,B88)=0,"ERRO: profissional não cadastrado",IF(G88="Concluído","Elegível","Excluído do cálculo")))</f>
        <v/>
      </c>
    </row>
    <row r="89" customFormat="false" ht="34" hidden="false" customHeight="true" outlineLevel="0" collapsed="false">
      <c r="A89" s="16"/>
      <c r="B89" s="12"/>
      <c r="C89" s="12"/>
      <c r="D89" s="14"/>
      <c r="E89" s="13" t="str">
        <f aca="false">IF(B89="","",IFERROR(VLOOKUP(B89,Configuração!$A$2:$C$13,2,FALSE()),""))</f>
        <v/>
      </c>
      <c r="F89" s="14" t="n">
        <f aca="false">IF(OR(B89="",G89&lt;&gt;"Concluído",COUNTIF(Configuração!$A$2:$A$13,B89)=0,NOT(ISNUMBER(E89))),0,D89*E89)</f>
        <v>0</v>
      </c>
      <c r="G89" s="12"/>
      <c r="H89" s="12"/>
      <c r="I89" s="12" t="str">
        <f aca="false">IF(B89="","",IF(COUNTIF(Configuração!$A$2:$A$13,B89)=0,"ERRO: profissional não cadastrado",IF(G89="Concluído","Elegível","Excluído do cálculo")))</f>
        <v/>
      </c>
    </row>
    <row r="90" customFormat="false" ht="34" hidden="false" customHeight="true" outlineLevel="0" collapsed="false">
      <c r="A90" s="15"/>
      <c r="B90" s="9"/>
      <c r="C90" s="9"/>
      <c r="D90" s="11"/>
      <c r="E90" s="10" t="str">
        <f aca="false">IF(B90="","",IFERROR(VLOOKUP(B90,Configuração!$A$2:$C$13,2,FALSE()),""))</f>
        <v/>
      </c>
      <c r="F90" s="11" t="n">
        <f aca="false">IF(OR(B90="",G90&lt;&gt;"Concluído",COUNTIF(Configuração!$A$2:$A$13,B90)=0,NOT(ISNUMBER(E90))),0,D90*E90)</f>
        <v>0</v>
      </c>
      <c r="G90" s="9"/>
      <c r="H90" s="9"/>
      <c r="I90" s="9" t="str">
        <f aca="false">IF(B90="","",IF(COUNTIF(Configuração!$A$2:$A$13,B90)=0,"ERRO: profissional não cadastrado",IF(G90="Concluído","Elegível","Excluído do cálculo")))</f>
        <v/>
      </c>
    </row>
    <row r="91" customFormat="false" ht="34" hidden="false" customHeight="true" outlineLevel="0" collapsed="false">
      <c r="A91" s="16"/>
      <c r="B91" s="12"/>
      <c r="C91" s="12"/>
      <c r="D91" s="14"/>
      <c r="E91" s="13" t="str">
        <f aca="false">IF(B91="","",IFERROR(VLOOKUP(B91,Configuração!$A$2:$C$13,2,FALSE()),""))</f>
        <v/>
      </c>
      <c r="F91" s="14" t="n">
        <f aca="false">IF(OR(B91="",G91&lt;&gt;"Concluído",COUNTIF(Configuração!$A$2:$A$13,B91)=0,NOT(ISNUMBER(E91))),0,D91*E91)</f>
        <v>0</v>
      </c>
      <c r="G91" s="12"/>
      <c r="H91" s="12"/>
      <c r="I91" s="12" t="str">
        <f aca="false">IF(B91="","",IF(COUNTIF(Configuração!$A$2:$A$13,B91)=0,"ERRO: profissional não cadastrado",IF(G91="Concluído","Elegível","Excluído do cálculo")))</f>
        <v/>
      </c>
    </row>
    <row r="92" customFormat="false" ht="34" hidden="false" customHeight="true" outlineLevel="0" collapsed="false">
      <c r="A92" s="15"/>
      <c r="B92" s="9"/>
      <c r="C92" s="9"/>
      <c r="D92" s="11"/>
      <c r="E92" s="10" t="str">
        <f aca="false">IF(B92="","",IFERROR(VLOOKUP(B92,Configuração!$A$2:$C$13,2,FALSE()),""))</f>
        <v/>
      </c>
      <c r="F92" s="11" t="n">
        <f aca="false">IF(OR(B92="",G92&lt;&gt;"Concluído",COUNTIF(Configuração!$A$2:$A$13,B92)=0,NOT(ISNUMBER(E92))),0,D92*E92)</f>
        <v>0</v>
      </c>
      <c r="G92" s="9"/>
      <c r="H92" s="9"/>
      <c r="I92" s="9" t="str">
        <f aca="false">IF(B92="","",IF(COUNTIF(Configuração!$A$2:$A$13,B92)=0,"ERRO: profissional não cadastrado",IF(G92="Concluído","Elegível","Excluído do cálculo")))</f>
        <v/>
      </c>
    </row>
    <row r="93" customFormat="false" ht="34" hidden="false" customHeight="true" outlineLevel="0" collapsed="false">
      <c r="A93" s="16"/>
      <c r="B93" s="12"/>
      <c r="C93" s="12"/>
      <c r="D93" s="14"/>
      <c r="E93" s="13" t="str">
        <f aca="false">IF(B93="","",IFERROR(VLOOKUP(B93,Configuração!$A$2:$C$13,2,FALSE()),""))</f>
        <v/>
      </c>
      <c r="F93" s="14" t="n">
        <f aca="false">IF(OR(B93="",G93&lt;&gt;"Concluído",COUNTIF(Configuração!$A$2:$A$13,B93)=0,NOT(ISNUMBER(E93))),0,D93*E93)</f>
        <v>0</v>
      </c>
      <c r="G93" s="12"/>
      <c r="H93" s="12"/>
      <c r="I93" s="12" t="str">
        <f aca="false">IF(B93="","",IF(COUNTIF(Configuração!$A$2:$A$13,B93)=0,"ERRO: profissional não cadastrado",IF(G93="Concluído","Elegível","Excluído do cálculo")))</f>
        <v/>
      </c>
    </row>
    <row r="94" customFormat="false" ht="34" hidden="false" customHeight="true" outlineLevel="0" collapsed="false">
      <c r="A94" s="15"/>
      <c r="B94" s="9"/>
      <c r="C94" s="9"/>
      <c r="D94" s="11"/>
      <c r="E94" s="10" t="str">
        <f aca="false">IF(B94="","",IFERROR(VLOOKUP(B94,Configuração!$A$2:$C$13,2,FALSE()),""))</f>
        <v/>
      </c>
      <c r="F94" s="11" t="n">
        <f aca="false">IF(OR(B94="",G94&lt;&gt;"Concluído",COUNTIF(Configuração!$A$2:$A$13,B94)=0,NOT(ISNUMBER(E94))),0,D94*E94)</f>
        <v>0</v>
      </c>
      <c r="G94" s="9"/>
      <c r="H94" s="9"/>
      <c r="I94" s="9" t="str">
        <f aca="false">IF(B94="","",IF(COUNTIF(Configuração!$A$2:$A$13,B94)=0,"ERRO: profissional não cadastrado",IF(G94="Concluído","Elegível","Excluído do cálculo")))</f>
        <v/>
      </c>
    </row>
    <row r="95" customFormat="false" ht="34" hidden="false" customHeight="true" outlineLevel="0" collapsed="false">
      <c r="A95" s="16"/>
      <c r="B95" s="12"/>
      <c r="C95" s="12"/>
      <c r="D95" s="14"/>
      <c r="E95" s="13" t="str">
        <f aca="false">IF(B95="","",IFERROR(VLOOKUP(B95,Configuração!$A$2:$C$13,2,FALSE()),""))</f>
        <v/>
      </c>
      <c r="F95" s="14" t="n">
        <f aca="false">IF(OR(B95="",G95&lt;&gt;"Concluído",COUNTIF(Configuração!$A$2:$A$13,B95)=0,NOT(ISNUMBER(E95))),0,D95*E95)</f>
        <v>0</v>
      </c>
      <c r="G95" s="12"/>
      <c r="H95" s="12"/>
      <c r="I95" s="12" t="str">
        <f aca="false">IF(B95="","",IF(COUNTIF(Configuração!$A$2:$A$13,B95)=0,"ERRO: profissional não cadastrado",IF(G95="Concluído","Elegível","Excluído do cálculo")))</f>
        <v/>
      </c>
    </row>
    <row r="96" customFormat="false" ht="34" hidden="false" customHeight="true" outlineLevel="0" collapsed="false">
      <c r="A96" s="15"/>
      <c r="B96" s="9"/>
      <c r="C96" s="9"/>
      <c r="D96" s="11"/>
      <c r="E96" s="10" t="str">
        <f aca="false">IF(B96="","",IFERROR(VLOOKUP(B96,Configuração!$A$2:$C$13,2,FALSE()),""))</f>
        <v/>
      </c>
      <c r="F96" s="11" t="n">
        <f aca="false">IF(OR(B96="",G96&lt;&gt;"Concluído",COUNTIF(Configuração!$A$2:$A$13,B96)=0,NOT(ISNUMBER(E96))),0,D96*E96)</f>
        <v>0</v>
      </c>
      <c r="G96" s="9"/>
      <c r="H96" s="9"/>
      <c r="I96" s="9" t="str">
        <f aca="false">IF(B96="","",IF(COUNTIF(Configuração!$A$2:$A$13,B96)=0,"ERRO: profissional não cadastrado",IF(G96="Concluído","Elegível","Excluído do cálculo")))</f>
        <v/>
      </c>
    </row>
    <row r="97" customFormat="false" ht="34" hidden="false" customHeight="true" outlineLevel="0" collapsed="false">
      <c r="A97" s="16"/>
      <c r="B97" s="12"/>
      <c r="C97" s="12"/>
      <c r="D97" s="14"/>
      <c r="E97" s="13" t="str">
        <f aca="false">IF(B97="","",IFERROR(VLOOKUP(B97,Configuração!$A$2:$C$13,2,FALSE()),""))</f>
        <v/>
      </c>
      <c r="F97" s="14" t="n">
        <f aca="false">IF(OR(B97="",G97&lt;&gt;"Concluído",COUNTIF(Configuração!$A$2:$A$13,B97)=0,NOT(ISNUMBER(E97))),0,D97*E97)</f>
        <v>0</v>
      </c>
      <c r="G97" s="12"/>
      <c r="H97" s="12"/>
      <c r="I97" s="12" t="str">
        <f aca="false">IF(B97="","",IF(COUNTIF(Configuração!$A$2:$A$13,B97)=0,"ERRO: profissional não cadastrado",IF(G97="Concluído","Elegível","Excluído do cálculo")))</f>
        <v/>
      </c>
    </row>
    <row r="98" customFormat="false" ht="34" hidden="false" customHeight="true" outlineLevel="0" collapsed="false">
      <c r="A98" s="15"/>
      <c r="B98" s="9"/>
      <c r="C98" s="9"/>
      <c r="D98" s="11"/>
      <c r="E98" s="10" t="str">
        <f aca="false">IF(B98="","",IFERROR(VLOOKUP(B98,Configuração!$A$2:$C$13,2,FALSE()),""))</f>
        <v/>
      </c>
      <c r="F98" s="11" t="n">
        <f aca="false">IF(OR(B98="",G98&lt;&gt;"Concluído",COUNTIF(Configuração!$A$2:$A$13,B98)=0,NOT(ISNUMBER(E98))),0,D98*E98)</f>
        <v>0</v>
      </c>
      <c r="G98" s="9"/>
      <c r="H98" s="9"/>
      <c r="I98" s="9" t="str">
        <f aca="false">IF(B98="","",IF(COUNTIF(Configuração!$A$2:$A$13,B98)=0,"ERRO: profissional não cadastrado",IF(G98="Concluído","Elegível","Excluído do cálculo")))</f>
        <v/>
      </c>
    </row>
    <row r="99" customFormat="false" ht="34" hidden="false" customHeight="true" outlineLevel="0" collapsed="false">
      <c r="A99" s="16"/>
      <c r="B99" s="12"/>
      <c r="C99" s="12"/>
      <c r="D99" s="14"/>
      <c r="E99" s="13" t="str">
        <f aca="false">IF(B99="","",IFERROR(VLOOKUP(B99,Configuração!$A$2:$C$13,2,FALSE()),""))</f>
        <v/>
      </c>
      <c r="F99" s="14" t="n">
        <f aca="false">IF(OR(B99="",G99&lt;&gt;"Concluído",COUNTIF(Configuração!$A$2:$A$13,B99)=0,NOT(ISNUMBER(E99))),0,D99*E99)</f>
        <v>0</v>
      </c>
      <c r="G99" s="12"/>
      <c r="H99" s="12"/>
      <c r="I99" s="12" t="str">
        <f aca="false">IF(B99="","",IF(COUNTIF(Configuração!$A$2:$A$13,B99)=0,"ERRO: profissional não cadastrado",IF(G99="Concluído","Elegível","Excluído do cálculo")))</f>
        <v/>
      </c>
    </row>
    <row r="100" customFormat="false" ht="34" hidden="false" customHeight="true" outlineLevel="0" collapsed="false">
      <c r="A100" s="15"/>
      <c r="B100" s="9"/>
      <c r="C100" s="9"/>
      <c r="D100" s="11"/>
      <c r="E100" s="10" t="str">
        <f aca="false">IF(B100="","",IFERROR(VLOOKUP(B100,Configuração!$A$2:$C$13,2,FALSE()),""))</f>
        <v/>
      </c>
      <c r="F100" s="11" t="n">
        <f aca="false">IF(OR(B100="",G100&lt;&gt;"Concluído",COUNTIF(Configuração!$A$2:$A$13,B100)=0,NOT(ISNUMBER(E100))),0,D100*E100)</f>
        <v>0</v>
      </c>
      <c r="G100" s="9"/>
      <c r="H100" s="9"/>
      <c r="I100" s="9" t="str">
        <f aca="false">IF(B100="","",IF(COUNTIF(Configuração!$A$2:$A$13,B100)=0,"ERRO: profissional não cadastrado",IF(G100="Concluído","Elegível","Excluído do cálculo")))</f>
        <v/>
      </c>
    </row>
    <row r="101" customFormat="false" ht="34" hidden="false" customHeight="true" outlineLevel="0" collapsed="false">
      <c r="A101" s="16"/>
      <c r="B101" s="12"/>
      <c r="C101" s="12"/>
      <c r="D101" s="14"/>
      <c r="E101" s="13" t="str">
        <f aca="false">IF(B101="","",IFERROR(VLOOKUP(B101,Configuração!$A$2:$C$13,2,FALSE()),""))</f>
        <v/>
      </c>
      <c r="F101" s="14" t="n">
        <f aca="false">IF(OR(B101="",G101&lt;&gt;"Concluído",COUNTIF(Configuração!$A$2:$A$13,B101)=0,NOT(ISNUMBER(E101))),0,D101*E101)</f>
        <v>0</v>
      </c>
      <c r="G101" s="12"/>
      <c r="H101" s="12"/>
      <c r="I101" s="12" t="str">
        <f aca="false">IF(B101="","",IF(COUNTIF(Configuração!$A$2:$A$13,B101)=0,"ERRO: profissional não cadastrado",IF(G101="Concluído","Elegível","Excluído do cálculo")))</f>
        <v/>
      </c>
    </row>
  </sheetData>
  <autoFilter ref="A1:I101"/>
  <dataValidations count="4">
    <dataValidation allowBlank="true" error="Informe uma data válida." errorStyle="stop" errorTitle="Valor inválido" operator="between" showDropDown="false" showErrorMessage="true" showInputMessage="false" sqref="A2:A101" type="date">
      <formula1>DATE(2020,1,1)</formula1>
      <formula2>DATE(2100,12,31)</formula2>
    </dataValidation>
    <dataValidation allowBlank="true" error="Escolha um profissional cadastrado na aba Configuração." errorStyle="stop" errorTitle="Profissional não cadastrado" operator="between" prompt="Use a lista da aba Configuração." promptTitle="Profissional" showDropDown="false" showErrorMessage="true" showInputMessage="true" sqref="B2:B101" type="list">
      <formula1>ListaProfissionais</formula1>
      <formula2>0</formula2>
    </dataValidation>
    <dataValidation allowBlank="true" error="O valor não pode ser negativo." errorStyle="stop" errorTitle="Valor inválido" operator="greaterThanOrEqual" showDropDown="false" showErrorMessage="true" showInputMessage="false" sqref="D2:D101" type="decimal">
      <formula1>0</formula1>
      <formula2>0</formula2>
    </dataValidation>
    <dataValidation allowBlank="true" error="Escolha Concluído, Cancelado, Estornado ou Não elegível." errorStyle="stop" errorTitle="Valor inválido" operator="between" showDropDown="false" showErrorMessage="true" showInputMessage="false" sqref="G2:G101" type="list">
      <formula1>"Concluído,Cancelado,Estornado,Não elegível"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4.84"/>
    <col collapsed="false" customWidth="true" hidden="false" outlineLevel="0" max="2" min="2" style="0" width="18.83"/>
    <col collapsed="false" customWidth="true" hidden="false" outlineLevel="0" max="3" min="3" style="0" width="22.84"/>
    <col collapsed="false" customWidth="true" hidden="false" outlineLevel="0" max="4" min="4" style="0" width="26.84"/>
    <col collapsed="false" customWidth="true" hidden="false" outlineLevel="0" max="5" min="5" style="0" width="18.83"/>
    <col collapsed="false" customWidth="true" hidden="false" outlineLevel="0" max="6" min="6" style="0" width="22.84"/>
  </cols>
  <sheetData>
    <row r="1" customFormat="false" ht="30" hidden="false" customHeight="true" outlineLevel="0" collapsed="false">
      <c r="A1" s="8" t="s">
        <v>13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</row>
    <row r="2" customFormat="false" ht="34" hidden="false" customHeight="true" outlineLevel="0" collapsed="false">
      <c r="A2" s="9" t="str">
        <f aca="false">IF(Configuração!A2="","",Configuração!A2)</f>
        <v>Profissional 1</v>
      </c>
      <c r="B2" s="9" t="n">
        <f aca="false">IF(A2="","",COUNTIFS(Atendimentos!$B$2:$B$101,A2,Atendimentos!$G$2:$G$101,"Concluído"))</f>
        <v>1</v>
      </c>
      <c r="C2" s="11" t="n">
        <f aca="false">IF(A2="","",SUMIFS(Atendimentos!$D$2:$D$101,Atendimentos!$B$2:$B$101,A2,Atendimentos!$G$2:$G$101,"Concluído"))</f>
        <v>60</v>
      </c>
      <c r="D2" s="11" t="n">
        <f aca="false">IF(A2="","",SUMIFS(Atendimentos!$F$2:$F$101,Atendimentos!$B$2:$B$101,A2,Atendimentos!$G$2:$G$101,"Concluído"))</f>
        <v>30</v>
      </c>
      <c r="E2" s="11" t="n">
        <f aca="false">IF(A2="","",IFERROR(VLOOKUP(A2,Configuração!$A$2:$C$13,3,FALSE()),0))</f>
        <v>0</v>
      </c>
      <c r="F2" s="11" t="n">
        <f aca="false">IF(A2="","",D2+E2)</f>
        <v>30</v>
      </c>
    </row>
    <row r="3" customFormat="false" ht="34" hidden="false" customHeight="true" outlineLevel="0" collapsed="false">
      <c r="A3" s="12" t="str">
        <f aca="false">IF(Configuração!A3="","",Configuração!A3)</f>
        <v>Profissional 2</v>
      </c>
      <c r="B3" s="12" t="n">
        <f aca="false">IF(A3="","",COUNTIFS(Atendimentos!$B$2:$B$101,A3,Atendimentos!$G$2:$G$101,"Concluído"))</f>
        <v>1</v>
      </c>
      <c r="C3" s="14" t="n">
        <f aca="false">IF(A3="","",SUMIFS(Atendimentos!$D$2:$D$101,Atendimentos!$B$2:$B$101,A3,Atendimentos!$G$2:$G$101,"Concluído"))</f>
        <v>95</v>
      </c>
      <c r="D3" s="14" t="n">
        <f aca="false">IF(A3="","",SUMIFS(Atendimentos!$F$2:$F$101,Atendimentos!$B$2:$B$101,A3,Atendimentos!$G$2:$G$101,"Concluído"))</f>
        <v>42.75</v>
      </c>
      <c r="E3" s="14" t="n">
        <f aca="false">IF(A3="","",IFERROR(VLOOKUP(A3,Configuração!$A$2:$C$13,3,FALSE()),0))</f>
        <v>0</v>
      </c>
      <c r="F3" s="14" t="n">
        <f aca="false">IF(A3="","",D3+E3)</f>
        <v>42.75</v>
      </c>
    </row>
    <row r="4" customFormat="false" ht="34" hidden="false" customHeight="true" outlineLevel="0" collapsed="false">
      <c r="A4" s="9" t="str">
        <f aca="false">IF(Configuração!A4="","",Configuração!A4)</f>
        <v>Profissional 3</v>
      </c>
      <c r="B4" s="9" t="n">
        <f aca="false">IF(A4="","",COUNTIFS(Atendimentos!$B$2:$B$101,A4,Atendimentos!$G$2:$G$101,"Concluído"))</f>
        <v>1</v>
      </c>
      <c r="C4" s="11" t="n">
        <f aca="false">IF(A4="","",SUMIFS(Atendimentos!$D$2:$D$101,Atendimentos!$B$2:$B$101,A4,Atendimentos!$G$2:$G$101,"Concluído"))</f>
        <v>45</v>
      </c>
      <c r="D4" s="11" t="n">
        <f aca="false">IF(A4="","",SUMIFS(Atendimentos!$F$2:$F$101,Atendimentos!$B$2:$B$101,A4,Atendimentos!$G$2:$G$101,"Concluído"))</f>
        <v>18</v>
      </c>
      <c r="E4" s="11" t="n">
        <f aca="false">IF(A4="","",IFERROR(VLOOKUP(A4,Configuração!$A$2:$C$13,3,FALSE()),0))</f>
        <v>0</v>
      </c>
      <c r="F4" s="11" t="n">
        <f aca="false">IF(A4="","",D4+E4)</f>
        <v>18</v>
      </c>
    </row>
    <row r="5" customFormat="false" ht="34" hidden="false" customHeight="true" outlineLevel="0" collapsed="false">
      <c r="A5" s="12" t="str">
        <f aca="false">IF(Configuração!A5="","",Configuração!A5)</f>
        <v/>
      </c>
      <c r="B5" s="12" t="str">
        <f aca="false">IF(A5="","",COUNTIFS(Atendimentos!$B$2:$B$101,A5,Atendimentos!$G$2:$G$101,"Concluído"))</f>
        <v/>
      </c>
      <c r="C5" s="14" t="str">
        <f aca="false">IF(A5="","",SUMIFS(Atendimentos!$D$2:$D$101,Atendimentos!$B$2:$B$101,A5,Atendimentos!$G$2:$G$101,"Concluído"))</f>
        <v/>
      </c>
      <c r="D5" s="14" t="str">
        <f aca="false">IF(A5="","",SUMIFS(Atendimentos!$F$2:$F$101,Atendimentos!$B$2:$B$101,A5,Atendimentos!$G$2:$G$101,"Concluído"))</f>
        <v/>
      </c>
      <c r="E5" s="14" t="str">
        <f aca="false">IF(A5="","",IFERROR(VLOOKUP(A5,Configuração!$A$2:$C$13,3,FALSE()),0))</f>
        <v/>
      </c>
      <c r="F5" s="14" t="str">
        <f aca="false">IF(A5="","",D5+E5)</f>
        <v/>
      </c>
    </row>
    <row r="6" customFormat="false" ht="34" hidden="false" customHeight="true" outlineLevel="0" collapsed="false">
      <c r="A6" s="9" t="str">
        <f aca="false">IF(Configuração!A6="","",Configuração!A6)</f>
        <v/>
      </c>
      <c r="B6" s="9" t="str">
        <f aca="false">IF(A6="","",COUNTIFS(Atendimentos!$B$2:$B$101,A6,Atendimentos!$G$2:$G$101,"Concluído"))</f>
        <v/>
      </c>
      <c r="C6" s="11" t="str">
        <f aca="false">IF(A6="","",SUMIFS(Atendimentos!$D$2:$D$101,Atendimentos!$B$2:$B$101,A6,Atendimentos!$G$2:$G$101,"Concluído"))</f>
        <v/>
      </c>
      <c r="D6" s="11" t="str">
        <f aca="false">IF(A6="","",SUMIFS(Atendimentos!$F$2:$F$101,Atendimentos!$B$2:$B$101,A6,Atendimentos!$G$2:$G$101,"Concluído"))</f>
        <v/>
      </c>
      <c r="E6" s="11" t="str">
        <f aca="false">IF(A6="","",IFERROR(VLOOKUP(A6,Configuração!$A$2:$C$13,3,FALSE()),0))</f>
        <v/>
      </c>
      <c r="F6" s="11" t="str">
        <f aca="false">IF(A6="","",D6+E6)</f>
        <v/>
      </c>
    </row>
    <row r="7" customFormat="false" ht="34" hidden="false" customHeight="true" outlineLevel="0" collapsed="false">
      <c r="A7" s="12" t="str">
        <f aca="false">IF(Configuração!A7="","",Configuração!A7)</f>
        <v/>
      </c>
      <c r="B7" s="12" t="str">
        <f aca="false">IF(A7="","",COUNTIFS(Atendimentos!$B$2:$B$101,A7,Atendimentos!$G$2:$G$101,"Concluído"))</f>
        <v/>
      </c>
      <c r="C7" s="14" t="str">
        <f aca="false">IF(A7="","",SUMIFS(Atendimentos!$D$2:$D$101,Atendimentos!$B$2:$B$101,A7,Atendimentos!$G$2:$G$101,"Concluído"))</f>
        <v/>
      </c>
      <c r="D7" s="14" t="str">
        <f aca="false">IF(A7="","",SUMIFS(Atendimentos!$F$2:$F$101,Atendimentos!$B$2:$B$101,A7,Atendimentos!$G$2:$G$101,"Concluído"))</f>
        <v/>
      </c>
      <c r="E7" s="14" t="str">
        <f aca="false">IF(A7="","",IFERROR(VLOOKUP(A7,Configuração!$A$2:$C$13,3,FALSE()),0))</f>
        <v/>
      </c>
      <c r="F7" s="14" t="str">
        <f aca="false">IF(A7="","",D7+E7)</f>
        <v/>
      </c>
    </row>
    <row r="8" customFormat="false" ht="34" hidden="false" customHeight="true" outlineLevel="0" collapsed="false">
      <c r="A8" s="9" t="str">
        <f aca="false">IF(Configuração!A8="","",Configuração!A8)</f>
        <v/>
      </c>
      <c r="B8" s="9" t="str">
        <f aca="false">IF(A8="","",COUNTIFS(Atendimentos!$B$2:$B$101,A8,Atendimentos!$G$2:$G$101,"Concluído"))</f>
        <v/>
      </c>
      <c r="C8" s="11" t="str">
        <f aca="false">IF(A8="","",SUMIFS(Atendimentos!$D$2:$D$101,Atendimentos!$B$2:$B$101,A8,Atendimentos!$G$2:$G$101,"Concluído"))</f>
        <v/>
      </c>
      <c r="D8" s="11" t="str">
        <f aca="false">IF(A8="","",SUMIFS(Atendimentos!$F$2:$F$101,Atendimentos!$B$2:$B$101,A8,Atendimentos!$G$2:$G$101,"Concluído"))</f>
        <v/>
      </c>
      <c r="E8" s="11" t="str">
        <f aca="false">IF(A8="","",IFERROR(VLOOKUP(A8,Configuração!$A$2:$C$13,3,FALSE()),0))</f>
        <v/>
      </c>
      <c r="F8" s="11" t="str">
        <f aca="false">IF(A8="","",D8+E8)</f>
        <v/>
      </c>
    </row>
    <row r="9" customFormat="false" ht="34" hidden="false" customHeight="true" outlineLevel="0" collapsed="false">
      <c r="A9" s="12" t="str">
        <f aca="false">IF(Configuração!A9="","",Configuração!A9)</f>
        <v/>
      </c>
      <c r="B9" s="12" t="str">
        <f aca="false">IF(A9="","",COUNTIFS(Atendimentos!$B$2:$B$101,A9,Atendimentos!$G$2:$G$101,"Concluído"))</f>
        <v/>
      </c>
      <c r="C9" s="14" t="str">
        <f aca="false">IF(A9="","",SUMIFS(Atendimentos!$D$2:$D$101,Atendimentos!$B$2:$B$101,A9,Atendimentos!$G$2:$G$101,"Concluído"))</f>
        <v/>
      </c>
      <c r="D9" s="14" t="str">
        <f aca="false">IF(A9="","",SUMIFS(Atendimentos!$F$2:$F$101,Atendimentos!$B$2:$B$101,A9,Atendimentos!$G$2:$G$101,"Concluído"))</f>
        <v/>
      </c>
      <c r="E9" s="14" t="str">
        <f aca="false">IF(A9="","",IFERROR(VLOOKUP(A9,Configuração!$A$2:$C$13,3,FALSE()),0))</f>
        <v/>
      </c>
      <c r="F9" s="14" t="str">
        <f aca="false">IF(A9="","",D9+E9)</f>
        <v/>
      </c>
    </row>
    <row r="10" customFormat="false" ht="34" hidden="false" customHeight="true" outlineLevel="0" collapsed="false">
      <c r="A10" s="9" t="str">
        <f aca="false">IF(Configuração!A10="","",Configuração!A10)</f>
        <v/>
      </c>
      <c r="B10" s="9" t="str">
        <f aca="false">IF(A10="","",COUNTIFS(Atendimentos!$B$2:$B$101,A10,Atendimentos!$G$2:$G$101,"Concluído"))</f>
        <v/>
      </c>
      <c r="C10" s="11" t="str">
        <f aca="false">IF(A10="","",SUMIFS(Atendimentos!$D$2:$D$101,Atendimentos!$B$2:$B$101,A10,Atendimentos!$G$2:$G$101,"Concluído"))</f>
        <v/>
      </c>
      <c r="D10" s="11" t="str">
        <f aca="false">IF(A10="","",SUMIFS(Atendimentos!$F$2:$F$101,Atendimentos!$B$2:$B$101,A10,Atendimentos!$G$2:$G$101,"Concluído"))</f>
        <v/>
      </c>
      <c r="E10" s="11" t="str">
        <f aca="false">IF(A10="","",IFERROR(VLOOKUP(A10,Configuração!$A$2:$C$13,3,FALSE()),0))</f>
        <v/>
      </c>
      <c r="F10" s="11" t="str">
        <f aca="false">IF(A10="","",D10+E10)</f>
        <v/>
      </c>
    </row>
    <row r="11" customFormat="false" ht="34" hidden="false" customHeight="true" outlineLevel="0" collapsed="false">
      <c r="A11" s="12" t="str">
        <f aca="false">IF(Configuração!A11="","",Configuração!A11)</f>
        <v/>
      </c>
      <c r="B11" s="12" t="str">
        <f aca="false">IF(A11="","",COUNTIFS(Atendimentos!$B$2:$B$101,A11,Atendimentos!$G$2:$G$101,"Concluído"))</f>
        <v/>
      </c>
      <c r="C11" s="14" t="str">
        <f aca="false">IF(A11="","",SUMIFS(Atendimentos!$D$2:$D$101,Atendimentos!$B$2:$B$101,A11,Atendimentos!$G$2:$G$101,"Concluído"))</f>
        <v/>
      </c>
      <c r="D11" s="14" t="str">
        <f aca="false">IF(A11="","",SUMIFS(Atendimentos!$F$2:$F$101,Atendimentos!$B$2:$B$101,A11,Atendimentos!$G$2:$G$101,"Concluído"))</f>
        <v/>
      </c>
      <c r="E11" s="14" t="str">
        <f aca="false">IF(A11="","",IFERROR(VLOOKUP(A11,Configuração!$A$2:$C$13,3,FALSE()),0))</f>
        <v/>
      </c>
      <c r="F11" s="14" t="str">
        <f aca="false">IF(A11="","",D11+E11)</f>
        <v/>
      </c>
    </row>
    <row r="12" customFormat="false" ht="34" hidden="false" customHeight="true" outlineLevel="0" collapsed="false">
      <c r="A12" s="9" t="str">
        <f aca="false">IF(Configuração!A12="","",Configuração!A12)</f>
        <v/>
      </c>
      <c r="B12" s="9" t="str">
        <f aca="false">IF(A12="","",COUNTIFS(Atendimentos!$B$2:$B$101,A12,Atendimentos!$G$2:$G$101,"Concluído"))</f>
        <v/>
      </c>
      <c r="C12" s="11" t="str">
        <f aca="false">IF(A12="","",SUMIFS(Atendimentos!$D$2:$D$101,Atendimentos!$B$2:$B$101,A12,Atendimentos!$G$2:$G$101,"Concluído"))</f>
        <v/>
      </c>
      <c r="D12" s="11" t="str">
        <f aca="false">IF(A12="","",SUMIFS(Atendimentos!$F$2:$F$101,Atendimentos!$B$2:$B$101,A12,Atendimentos!$G$2:$G$101,"Concluído"))</f>
        <v/>
      </c>
      <c r="E12" s="11" t="str">
        <f aca="false">IF(A12="","",IFERROR(VLOOKUP(A12,Configuração!$A$2:$C$13,3,FALSE()),0))</f>
        <v/>
      </c>
      <c r="F12" s="11" t="str">
        <f aca="false">IF(A12="","",D12+E12)</f>
        <v/>
      </c>
    </row>
    <row r="13" customFormat="false" ht="34" hidden="false" customHeight="true" outlineLevel="0" collapsed="false">
      <c r="A13" s="12" t="str">
        <f aca="false">IF(Configuração!A13="","",Configuração!A13)</f>
        <v/>
      </c>
      <c r="B13" s="12" t="str">
        <f aca="false">IF(A13="","",COUNTIFS(Atendimentos!$B$2:$B$101,A13,Atendimentos!$G$2:$G$101,"Concluído"))</f>
        <v/>
      </c>
      <c r="C13" s="14" t="str">
        <f aca="false">IF(A13="","",SUMIFS(Atendimentos!$D$2:$D$101,Atendimentos!$B$2:$B$101,A13,Atendimentos!$G$2:$G$101,"Concluído"))</f>
        <v/>
      </c>
      <c r="D13" s="14" t="str">
        <f aca="false">IF(A13="","",SUMIFS(Atendimentos!$F$2:$F$101,Atendimentos!$B$2:$B$101,A13,Atendimentos!$G$2:$G$101,"Concluído"))</f>
        <v/>
      </c>
      <c r="E13" s="14" t="str">
        <f aca="false">IF(A13="","",IFERROR(VLOOKUP(A13,Configuração!$A$2:$C$13,3,FALSE()),0))</f>
        <v/>
      </c>
      <c r="F13" s="14" t="str">
        <f aca="false">IF(A13="","",D13+E13)</f>
        <v/>
      </c>
    </row>
    <row r="14" customFormat="false" ht="34" hidden="false" customHeight="true" outlineLevel="0" collapsed="false">
      <c r="A14" s="8" t="s">
        <v>45</v>
      </c>
      <c r="B14" s="8" t="n">
        <f aca="false">SUM(B2:B13)</f>
        <v>3</v>
      </c>
      <c r="C14" s="17" t="n">
        <f aca="false">SUM(C2:C13)</f>
        <v>200</v>
      </c>
      <c r="D14" s="17" t="n">
        <f aca="false">SUM(D2:D13)</f>
        <v>90.75</v>
      </c>
      <c r="E14" s="17" t="n">
        <f aca="false">SUM(E2:E13)</f>
        <v>0</v>
      </c>
      <c r="F14" s="17" t="n">
        <f aca="false">SUM(F2:F13)</f>
        <v>90.75</v>
      </c>
    </row>
  </sheetData>
  <autoFilter ref="A1:F14"/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Planilha de comissões da barbearia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